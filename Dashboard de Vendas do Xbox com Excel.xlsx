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29fb2d12606b095/Área de Trabalho/Projetos/Excel/Dashboard de Vendas do Xbox com Excel/"/>
    </mc:Choice>
  </mc:AlternateContent>
  <xr:revisionPtr revIDLastSave="3" documentId="13_ncr:1_{BE618827-81E8-4F2D-9A0F-2EFEC5CCFA26}" xr6:coauthVersionLast="47" xr6:coauthVersionMax="47" xr10:uidLastSave="{52E63C1D-7158-4BD9-92A8-A16BC262F089}"/>
  <bookViews>
    <workbookView xWindow="-108" yWindow="-108" windowWidth="23256" windowHeight="12456" tabRatio="517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externalReferences>
    <externalReference r:id="rId5"/>
    <externalReference r:id="rId6"/>
  </externalReferences>
  <definedNames>
    <definedName name="SegmentaçãodeDados_Subscription_Type">#N/A</definedName>
    <definedName name="table_easeasonpass_total">C̳álculos!$B$17</definedName>
    <definedName name="tbl_annual_total">C̳álculos!$B$12</definedName>
    <definedName name="tbl_easeasonpass_total">C̳álculos!$B$21</definedName>
  </definedNames>
  <calcPr calcId="191029"/>
  <pivotCaches>
    <pivotCache cacheId="0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3" l="1"/>
  <c r="E23" i="3"/>
</calcChain>
</file>

<file path=xl/sharedStrings.xml><?xml version="1.0" encoding="utf-8"?>
<sst xmlns="http://schemas.openxmlformats.org/spreadsheetml/2006/main" count="2023" uniqueCount="325">
  <si>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</si>
  <si>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</si>
  <si>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</si>
  <si>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</si>
  <si>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</si>
  <si>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</si>
  <si>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</si>
  <si>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</si>
  <si>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</si>
  <si>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</si>
  <si>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</si>
  <si>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</si>
  <si>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</si>
  <si>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</si>
  <si>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</si>
  <si>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</si>
  <si>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</si>
  <si>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</si>
  <si>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</si>
  <si>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</si>
  <si>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</si>
  <si>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</si>
  <si>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</si>
  <si>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</si>
  <si>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</si>
  <si>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</si>
  <si>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</si>
  <si>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</si>
  <si>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</si>
  <si>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</si>
  <si>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</si>
  <si>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</si>
  <si>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</si>
  <si>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</si>
  <si>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</si>
  <si>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</si>
  <si>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</si>
  <si>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</si>
  <si>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</si>
  <si>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</si>
  <si>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</si>
  <si>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</si>
  <si>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</si>
  <si>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</si>
  <si>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</si>
  <si>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</si>
  <si>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</si>
  <si>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</si>
  <si>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</si>
  <si>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</si>
  <si>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</si>
  <si>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</si>
  <si>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</si>
  <si>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</si>
  <si>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</si>
  <si>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</si>
  <si>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</si>
  <si>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</si>
  <si>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</si>
  <si>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</si>
  <si>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</si>
  <si>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</si>
  <si>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</si>
  <si>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</si>
  <si>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</si>
  <si>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</si>
  <si>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</si>
  <si>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</si>
  <si>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</si>
  <si>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</si>
  <si>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</si>
  <si>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</si>
  <si>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</si>
  <si>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</si>
  <si>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</si>
  <si>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</si>
  <si>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</si>
  <si>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</si>
  <si>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</si>
  <si>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</si>
  <si>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</si>
  <si>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</si>
  <si>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</si>
  <si>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</si>
  <si>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</si>
  <si>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</si>
  <si>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</si>
  <si>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</si>
  <si>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</si>
  <si>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</si>
  <si>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</si>
  <si>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</si>
  <si>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</si>
  <si>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</si>
  <si>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</si>
  <si>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</si>
  <si>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</si>
  <si>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</si>
  <si>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</si>
  <si>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</si>
  <si>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</si>
  <si>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</si>
  <si>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</si>
  <si>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</si>
  <si>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</si>
  <si>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</si>
  <si>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</si>
  <si>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</si>
  <si>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</si>
  <si>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</si>
  <si>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</si>
  <si>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</si>
  <si>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</si>
  <si>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</si>
  <si>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</si>
  <si>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</si>
  <si>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</si>
  <si>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</si>
  <si>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</si>
  <si>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</si>
  <si>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</si>
  <si>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</si>
  <si>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</si>
  <si>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</si>
  <si>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</si>
  <si>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</si>
  <si>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</si>
  <si>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</si>
  <si>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</si>
  <si>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</si>
  <si>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</si>
  <si>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</si>
  <si>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</si>
  <si>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</si>
  <si>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</si>
  <si>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</si>
  <si>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</si>
  <si>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</si>
  <si>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</si>
  <si>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</si>
  <si>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</si>
  <si>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</si>
  <si>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</si>
  <si>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</si>
  <si>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</si>
  <si>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</si>
  <si>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</si>
  <si>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</si>
  <si>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</si>
  <si>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</si>
  <si>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</si>
  <si>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</si>
  <si>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</si>
  <si>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</si>
  <si>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</si>
  <si>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</si>
  <si>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</si>
  <si>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</si>
  <si>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</si>
  <si>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</si>
  <si>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</si>
  <si>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</si>
  <si>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</si>
  <si>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</si>
  <si>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</si>
  <si>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</si>
  <si>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</si>
  <si>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</si>
  <si>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</si>
  <si>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</si>
  <si>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</si>
  <si>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</si>
  <si>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</si>
  <si>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</si>
  <si>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</si>
  <si>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</si>
  <si>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</si>
  <si>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</si>
  <si>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</si>
  <si>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</si>
  <si>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</si>
  <si>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</si>
  <si>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</si>
  <si>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</si>
  <si>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</si>
  <si>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</si>
  <si>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</si>
  <si>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</si>
  <si>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</si>
  <si>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</si>
  <si>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</si>
  <si>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</si>
  <si>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</si>
  <si>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</si>
  <si>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</si>
  <si>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</si>
  <si>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</si>
  <si>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</si>
  <si>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</si>
  <si>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</si>
  <si>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</si>
  <si>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</si>
  <si>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</si>
  <si>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</si>
  <si>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</si>
  <si>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</si>
  <si>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</si>
  <si>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</si>
  <si>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</si>
  <si>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</si>
  <si>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</si>
  <si>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</si>
  <si>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</si>
  <si>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</si>
  <si>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</si>
  <si>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</si>
  <si>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</si>
  <si>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</si>
  <si>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</si>
  <si>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</si>
  <si>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</si>
  <si>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</si>
  <si>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</si>
  <si>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</si>
  <si>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</si>
  <si>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</si>
  <si>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</si>
  <si>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</si>
  <si>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</si>
  <si>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</si>
  <si>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</si>
  <si>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</si>
  <si>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</si>
  <si>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</si>
  <si>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</si>
  <si>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</si>
  <si>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</si>
  <si>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</si>
  <si>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</si>
  <si>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</si>
  <si>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</si>
  <si>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</si>
  <si>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</si>
  <si>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</si>
  <si>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</si>
  <si>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</si>
  <si>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</si>
  <si>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</si>
  <si>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</si>
  <si>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</si>
  <si>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</si>
  <si>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</si>
  <si>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</si>
  <si>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</si>
  <si>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</si>
  <si>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</si>
  <si>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</si>
  <si>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</si>
  <si>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</si>
  <si>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</si>
  <si>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</si>
  <si>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</si>
  <si>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</si>
  <si>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</si>
  <si>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</si>
  <si>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</si>
  <si>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</si>
  <si>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</si>
  <si>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</si>
  <si>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</si>
  <si>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</si>
  <si>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</si>
  <si>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</si>
  <si>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</si>
  <si>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</si>
  <si>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</si>
  <si>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</si>
  <si>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</si>
  <si>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</si>
  <si>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</si>
  <si>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</si>
  <si>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</si>
  <si>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</si>
  <si>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</si>
  <si>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</si>
  <si>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</si>
  <si>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</si>
  <si>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</si>
  <si>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</si>
  <si>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</si>
  <si>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</si>
  <si>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</si>
  <si>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</si>
  <si>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</si>
  <si>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</si>
  <si>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</si>
  <si>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</si>
  <si>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</si>
  <si>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</si>
  <si>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</si>
  <si>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</si>
  <si>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</si>
  <si>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</si>
  <si>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</si>
  <si>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</si>
  <si>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</si>
  <si>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</si>
  <si>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</si>
  <si>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</si>
  <si>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</si>
  <si>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</si>
  <si>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</si>
  <si>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</si>
  <si>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É uma pergunta de negócio respondida através de alguma análise de dado específica</t>
  </si>
  <si>
    <r>
      <t xml:space="preserve">Pergunta de Negócio 1 - Qual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 (contendo todas as assinaturas agregadas)</t>
    </r>
  </si>
  <si>
    <r>
      <t>Pergunta de Negócio 2 - Qual Faturamento</t>
    </r>
    <r>
      <rPr>
        <b/>
        <sz val="11"/>
        <color theme="1"/>
        <rFont val="Aptos Narrow"/>
        <family val="2"/>
        <scheme val="minor"/>
      </rPr>
      <t xml:space="preserve"> Total de vendas</t>
    </r>
    <r>
      <rPr>
        <sz val="11"/>
        <color theme="1"/>
        <rFont val="Aptos Narrow"/>
        <family val="2"/>
        <scheme val="minor"/>
      </rPr>
      <t xml:space="preserve"> de</t>
    </r>
    <r>
      <rPr>
        <b/>
        <sz val="11"/>
        <color theme="1"/>
        <rFont val="Aptos Narrow"/>
        <family val="2"/>
        <scheme val="minor"/>
      </rPr>
      <t xml:space="preserve"> planos anuais</t>
    </r>
    <r>
      <rPr>
        <sz val="11"/>
        <color theme="1"/>
        <rFont val="Aptos Narrow"/>
        <family val="2"/>
        <scheme val="minor"/>
      </rPr>
      <t xml:space="preserve"> , separado por auto renovação não é por auto renovação</t>
    </r>
  </si>
  <si>
    <t>Rótulos de Linha</t>
  </si>
  <si>
    <t>Soma de Total Value</t>
  </si>
  <si>
    <t>Total Geral</t>
  </si>
  <si>
    <t xml:space="preserve"> XBOX GAME PASS SUBSCRIPTIONS SALES</t>
  </si>
  <si>
    <t>Soma de EA Play Season Pass</t>
  </si>
  <si>
    <t>Pergunta Negócio 3 - Total de Vendas de Assinaturas do EA Play</t>
  </si>
  <si>
    <t>Pergunta Negócio 4 - Total de Vendas de Assinaturas do Minecraft Season Pass</t>
  </si>
  <si>
    <t>Soma de Minecraft Season Pass Price</t>
  </si>
  <si>
    <t>bem vinda, BRUNA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</si>
</sst>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&quot;R$&quot;\ #,##0.00"/>
  </numFmts>
  <fonts count="8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5"/>
      <color rgb="FF22C55E"/>
      <name val="Segoe UI"/>
      <family val="2"/>
    </font>
    <font>
      <b/>
      <sz val="15"/>
      <color theme="3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0" fontId="4" fillId="8" borderId="0" applyNumberFormat="0" applyBorder="0" applyAlignment="0" applyProtection="0"/>
  </cellStyleXfs>
  <cellXfs count="24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pivotButton="1"/>
    <xf numFmtId="0" fontId="6" fillId="0" borderId="2" xfId="1" applyFont="1" applyBorder="1" applyAlignment="1">
      <alignment horizontal="left" indent="7"/>
    </xf>
    <xf numFmtId="0" fontId="7" fillId="0" borderId="2" xfId="1" applyFont="1" applyBorder="1"/>
    <xf numFmtId="0" fontId="6" fillId="0" borderId="2" xfId="1" applyFont="1" applyBorder="1" applyAlignment="1">
      <alignment horizontal="left"/>
    </xf>
    <xf numFmtId="164" fontId="0" fillId="0" borderId="0" xfId="0" applyNumberFormat="1"/>
    <xf numFmtId="0" fontId="0" fillId="4" borderId="0" xfId="0" applyFill="1" applyProtection="1">
      <protection locked="0"/>
    </xf>
    <xf numFmtId="0" fontId="5" fillId="4" borderId="0" xfId="0" applyFont="1" applyFill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2" fillId="0" borderId="0" xfId="3" applyFont="1" applyFill="1" applyAlignment="1">
      <alignment horizontal="center"/>
    </xf>
    <xf numFmtId="0" fontId="0" fillId="0" borderId="0" xfId="0" applyNumberFormat="1"/>
  </cellXfs>
  <cellStyles count="4">
    <cellStyle name="Moeda" xfId="2" builtinId="4"/>
    <cellStyle name="Neutro" xfId="3" builtinId="28"/>
    <cellStyle name="Normal" xfId="0" builtinId="0"/>
    <cellStyle name="Título 1" xfId="1" builtinId="16"/>
  </cellStyles>
  <dxfs count="16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border>
        <bottom style="thin">
          <color theme="9"/>
        </bottom>
        <vertical/>
        <horizontal/>
      </border>
    </dxf>
    <dxf>
      <font>
        <color theme="1"/>
      </font>
      <fill>
        <patternFill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6 2" pivot="0" table="0" count="10" xr9:uid="{608F4308-4995-4978-9FC1-8A210DD35A33}">
      <tableStyleElement type="wholeTable" dxfId="15"/>
      <tableStyleElement type="headerRow" dxfId="14"/>
    </tableStyle>
  </tableStyles>
  <colors>
    <mruColors>
      <color rgb="FF22C55E"/>
      <color rgb="FFE8E6E9"/>
      <color rgb="FF5BF6A8"/>
      <color rgb="FF000000"/>
      <color rgb="FFE0E0E0"/>
      <color rgb="FFEDEDED"/>
      <color rgb="FFF7F8FC"/>
      <color rgb="FF2AE6B1"/>
      <color rgb="FF9BC848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Total</c:v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No</c:v>
              </c:pt>
              <c:pt idx="1">
                <c:v>Yes</c:v>
              </c:pt>
            </c:strLit>
          </c:cat>
          <c:val>
            <c:numLit>
              <c:formatCode>General</c:formatCode>
              <c:ptCount val="2"/>
              <c:pt idx="0">
                <c:v>2824</c:v>
              </c:pt>
              <c:pt idx="1">
                <c:v>747</c:v>
              </c:pt>
            </c:numLit>
          </c:val>
          <c:extLst>
            <c:ext xmlns:c16="http://schemas.microsoft.com/office/drawing/2014/chart" uri="{C3380CC4-5D6E-409C-BE32-E72D297353CC}">
              <c16:uniqueId val="{00000000-DB05-4089-928D-D7911A0BE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96661440"/>
        <c:axId val="896665760"/>
      </c:barChart>
      <c:catAx>
        <c:axId val="8966614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6665760"/>
        <c:crosses val="autoZero"/>
        <c:auto val="1"/>
        <c:lblAlgn val="ctr"/>
        <c:lblOffset val="100"/>
        <c:noMultiLvlLbl val="0"/>
      </c:catAx>
      <c:valAx>
        <c:axId val="8966657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9666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bruna-dias-286567169/" TargetMode="External"/><Relationship Id="rId3" Type="http://schemas.openxmlformats.org/officeDocument/2006/relationships/image" Target="../media/image7.png"/><Relationship Id="rId7" Type="http://schemas.openxmlformats.org/officeDocument/2006/relationships/image" Target="../media/image5.png"/><Relationship Id="rId2" Type="http://schemas.openxmlformats.org/officeDocument/2006/relationships/image" Target="../media/image2.png"/><Relationship Id="rId1" Type="http://schemas.openxmlformats.org/officeDocument/2006/relationships/chart" Target="../charts/chart1.xml"/><Relationship Id="rId6" Type="http://schemas.openxmlformats.org/officeDocument/2006/relationships/image" Target="../media/image10.svg"/><Relationship Id="rId5" Type="http://schemas.openxmlformats.org/officeDocument/2006/relationships/image" Target="../media/image9.png"/><Relationship Id="rId4" Type="http://schemas.openxmlformats.org/officeDocument/2006/relationships/image" Target="../media/image11.png"/><Relationship Id="rId9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219699"/>
          <a:ext cx="1549476" cy="72199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14</xdr:row>
      <xdr:rowOff>137160</xdr:rowOff>
    </xdr:from>
    <xdr:to>
      <xdr:col>16</xdr:col>
      <xdr:colOff>350520</xdr:colOff>
      <xdr:row>33</xdr:row>
      <xdr:rowOff>13811</xdr:rowOff>
    </xdr:to>
    <xdr:grpSp>
      <xdr:nvGrpSpPr>
        <xdr:cNvPr id="2" name="Agrupar 1">
          <a:extLst>
            <a:ext uri="{FF2B5EF4-FFF2-40B4-BE49-F238E27FC236}">
              <a16:creationId xmlns:a16="http://schemas.microsoft.com/office/drawing/2014/main" id="{3B534B0C-07C9-4A0C-BA0E-BAEB42B4FB4C}"/>
            </a:ext>
          </a:extLst>
        </xdr:cNvPr>
        <xdr:cNvGrpSpPr/>
      </xdr:nvGrpSpPr>
      <xdr:grpSpPr>
        <a:xfrm>
          <a:off x="2125980" y="2910840"/>
          <a:ext cx="8724900" cy="3351371"/>
          <a:chOff x="2083593" y="3178969"/>
          <a:chExt cx="10298904" cy="3298031"/>
        </a:xfrm>
      </xdr:grpSpPr>
      <xdr:grpSp>
        <xdr:nvGrpSpPr>
          <xdr:cNvPr id="3" name="Agrupar 2">
            <a:extLst>
              <a:ext uri="{FF2B5EF4-FFF2-40B4-BE49-F238E27FC236}">
                <a16:creationId xmlns:a16="http://schemas.microsoft.com/office/drawing/2014/main" id="{448338E9-8E01-1DE2-EAD8-70689FB3ACCF}"/>
              </a:ext>
            </a:extLst>
          </xdr:cNvPr>
          <xdr:cNvGrpSpPr/>
        </xdr:nvGrpSpPr>
        <xdr:grpSpPr>
          <a:xfrm>
            <a:off x="2095502" y="3178970"/>
            <a:ext cx="10275092" cy="3298030"/>
            <a:chOff x="2309814" y="1190625"/>
            <a:chExt cx="10275092" cy="2917032"/>
          </a:xfrm>
        </xdr:grpSpPr>
        <xdr:sp macro="" textlink="">
          <xdr:nvSpPr>
            <xdr:cNvPr id="5" name="Retângulo: Cantos Arredondados 4">
              <a:extLst>
                <a:ext uri="{FF2B5EF4-FFF2-40B4-BE49-F238E27FC236}">
                  <a16:creationId xmlns:a16="http://schemas.microsoft.com/office/drawing/2014/main" id="{455161E9-3F25-4A6F-579D-9EDC2AA1585A}"/>
                </a:ext>
              </a:extLst>
            </xdr:cNvPr>
            <xdr:cNvSpPr/>
          </xdr:nvSpPr>
          <xdr:spPr>
            <a:xfrm>
              <a:off x="2309814" y="1190625"/>
              <a:ext cx="10275092" cy="2917032"/>
            </a:xfrm>
            <a:prstGeom prst="roundRect">
              <a:avLst>
                <a:gd name="adj" fmla="val 3606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kern="1200"/>
            </a:p>
          </xdr:txBody>
        </xdr:sp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060EBEAE-5FB3-0A52-740E-BA633FB95614}"/>
                </a:ext>
              </a:extLst>
            </xdr:cNvPr>
            <xdr:cNvGraphicFramePr>
              <a:graphicFrameLocks/>
            </xdr:cNvGraphicFramePr>
          </xdr:nvGraphicFramePr>
          <xdr:xfrm>
            <a:off x="2483645" y="1345406"/>
            <a:ext cx="9886947" cy="270748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sp macro="" textlink="">
        <xdr:nvSpPr>
          <xdr:cNvPr id="4" name="Retângulo: Cantos Superiores Arredondados 3">
            <a:extLst>
              <a:ext uri="{FF2B5EF4-FFF2-40B4-BE49-F238E27FC236}">
                <a16:creationId xmlns:a16="http://schemas.microsoft.com/office/drawing/2014/main" id="{B8182630-981D-6223-0DF4-0E6456B5DBD5}"/>
              </a:ext>
            </a:extLst>
          </xdr:cNvPr>
          <xdr:cNvSpPr/>
        </xdr:nvSpPr>
        <xdr:spPr>
          <a:xfrm>
            <a:off x="2083593" y="3178969"/>
            <a:ext cx="10298904" cy="452437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 kern="1200">
                <a:latin typeface="Segoe UI" panose="020B0502040204020203" pitchFamily="34" charset="0"/>
                <a:cs typeface="Segoe UI" panose="020B0502040204020203" pitchFamily="34" charset="0"/>
              </a:rPr>
              <a:t>TOTAL SUBSCRIPTIONS XBOX</a:t>
            </a:r>
            <a:r>
              <a:rPr lang="pt-BR" sz="1100" b="1" kern="1200" baseline="0">
                <a:latin typeface="Segoe UI" panose="020B0502040204020203" pitchFamily="34" charset="0"/>
                <a:cs typeface="Segoe UI" panose="020B0502040204020203" pitchFamily="34" charset="0"/>
              </a:rPr>
              <a:t> GAME PASS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oneCell">
    <xdr:from>
      <xdr:col>0</xdr:col>
      <xdr:colOff>91440</xdr:colOff>
      <xdr:row>7</xdr:row>
      <xdr:rowOff>76200</xdr:rowOff>
    </xdr:from>
    <xdr:to>
      <xdr:col>0</xdr:col>
      <xdr:colOff>1873976</xdr:colOff>
      <xdr:row>14</xdr:row>
      <xdr:rowOff>53340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ubscription Type">
              <a:extLst>
                <a:ext uri="{FF2B5EF4-FFF2-40B4-BE49-F238E27FC236}">
                  <a16:creationId xmlns:a16="http://schemas.microsoft.com/office/drawing/2014/main" id="{145AC98A-2E31-47B1-843D-E32B19C992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440" y="1569720"/>
              <a:ext cx="1782536" cy="1257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60960</xdr:colOff>
      <xdr:row>0</xdr:row>
      <xdr:rowOff>83820</xdr:rowOff>
    </xdr:from>
    <xdr:to>
      <xdr:col>2</xdr:col>
      <xdr:colOff>497990</xdr:colOff>
      <xdr:row>2</xdr:row>
      <xdr:rowOff>186212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D9CE1BBE-339E-4BCA-954E-E8D63050FDF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1943100" y="83820"/>
          <a:ext cx="680870" cy="780572"/>
        </a:xfrm>
        <a:prstGeom prst="rect">
          <a:avLst/>
        </a:prstGeom>
      </xdr:spPr>
    </xdr:pic>
    <xdr:clientData/>
  </xdr:twoCellAnchor>
  <xdr:twoCellAnchor editAs="absolute">
    <xdr:from>
      <xdr:col>2</xdr:col>
      <xdr:colOff>15240</xdr:colOff>
      <xdr:row>5</xdr:row>
      <xdr:rowOff>22860</xdr:rowOff>
    </xdr:from>
    <xdr:to>
      <xdr:col>8</xdr:col>
      <xdr:colOff>601980</xdr:colOff>
      <xdr:row>14</xdr:row>
      <xdr:rowOff>25500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08840381-1EB6-4968-A242-4AD185FFB44F}"/>
            </a:ext>
          </a:extLst>
        </xdr:cNvPr>
        <xdr:cNvGrpSpPr/>
      </xdr:nvGrpSpPr>
      <xdr:grpSpPr>
        <a:xfrm>
          <a:off x="2141220" y="1211580"/>
          <a:ext cx="4244340" cy="1587600"/>
          <a:chOff x="2095500" y="1143000"/>
          <a:chExt cx="4655345" cy="1639957"/>
        </a:xfrm>
      </xdr:grpSpPr>
      <xdr:sp macro="" textlink="">
        <xdr:nvSpPr>
          <xdr:cNvPr id="14" name="Retângulo: Cantos Arredondados 13">
            <a:extLst>
              <a:ext uri="{FF2B5EF4-FFF2-40B4-BE49-F238E27FC236}">
                <a16:creationId xmlns:a16="http://schemas.microsoft.com/office/drawing/2014/main" id="{79DDC283-537E-E37A-5E9D-3468A12D5FFE}"/>
              </a:ext>
            </a:extLst>
          </xdr:cNvPr>
          <xdr:cNvSpPr/>
        </xdr:nvSpPr>
        <xdr:spPr>
          <a:xfrm>
            <a:off x="2095501" y="1202531"/>
            <a:ext cx="4655344" cy="1512094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̳álculos!E23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4221C67C-26FE-1C78-9584-AE62315CB497}"/>
              </a:ext>
            </a:extLst>
          </xdr:cNvPr>
          <xdr:cNvSpPr/>
        </xdr:nvSpPr>
        <xdr:spPr>
          <a:xfrm>
            <a:off x="3212308" y="1694002"/>
            <a:ext cx="3026569" cy="942975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0F59912B-113D-41F8-8D7A-40A5FEDCB4C1}" type="TxLink">
              <a:rPr lang="en-US" sz="3200" b="0" i="0" u="none" strike="noStrike" kern="1200">
                <a:solidFill>
                  <a:srgbClr val="22C55E"/>
                </a:solidFill>
                <a:latin typeface="Aptos Narrow"/>
              </a:rPr>
              <a:pPr algn="ctr"/>
              <a:t>R$ 990,00</a:t>
            </a:fld>
            <a:endParaRPr lang="pt-BR" sz="3200" kern="1200">
              <a:solidFill>
                <a:srgbClr val="22C55E"/>
              </a:solidFill>
            </a:endParaRPr>
          </a:p>
        </xdr:txBody>
      </xdr:sp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D2B4AE18-1047-E6EF-D684-EBCC8CFFEB7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355700" y="1563757"/>
            <a:ext cx="1219200" cy="1219200"/>
          </a:xfrm>
          <a:prstGeom prst="rect">
            <a:avLst/>
          </a:prstGeom>
        </xdr:spPr>
      </xdr:pic>
      <xdr:sp macro="" textlink="">
        <xdr:nvSpPr>
          <xdr:cNvPr id="17" name="Retângulo: Cantos Superiores Arredondados 16">
            <a:extLst>
              <a:ext uri="{FF2B5EF4-FFF2-40B4-BE49-F238E27FC236}">
                <a16:creationId xmlns:a16="http://schemas.microsoft.com/office/drawing/2014/main" id="{90B987CE-625D-0219-E6DD-328DC03BEE3D}"/>
              </a:ext>
            </a:extLst>
          </xdr:cNvPr>
          <xdr:cNvSpPr/>
        </xdr:nvSpPr>
        <xdr:spPr>
          <a:xfrm>
            <a:off x="2095500" y="1143000"/>
            <a:ext cx="4655344" cy="452437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 kern="1200">
                <a:latin typeface="Segoe UI" panose="020B0502040204020203" pitchFamily="34" charset="0"/>
                <a:cs typeface="Segoe UI" panose="020B0502040204020203" pitchFamily="34" charset="0"/>
              </a:rPr>
              <a:t>TOTAL SUBSCRIPTIONS EA PLAY SEASON PASS</a:t>
            </a:r>
          </a:p>
        </xdr:txBody>
      </xdr:sp>
    </xdr:grpSp>
    <xdr:clientData/>
  </xdr:twoCellAnchor>
  <xdr:twoCellAnchor>
    <xdr:from>
      <xdr:col>9</xdr:col>
      <xdr:colOff>182880</xdr:colOff>
      <xdr:row>5</xdr:row>
      <xdr:rowOff>22860</xdr:rowOff>
    </xdr:from>
    <xdr:to>
      <xdr:col>16</xdr:col>
      <xdr:colOff>320100</xdr:colOff>
      <xdr:row>13</xdr:row>
      <xdr:rowOff>146114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73B374B4-47B6-1A46-E6B7-EA81786C41E4}"/>
            </a:ext>
          </a:extLst>
        </xdr:cNvPr>
        <xdr:cNvGrpSpPr/>
      </xdr:nvGrpSpPr>
      <xdr:grpSpPr>
        <a:xfrm>
          <a:off x="6576060" y="1211580"/>
          <a:ext cx="4244400" cy="1525334"/>
          <a:chOff x="6614160" y="1211581"/>
          <a:chExt cx="4244400" cy="1442264"/>
        </a:xfrm>
      </xdr:grpSpPr>
      <xdr:grpSp>
        <xdr:nvGrpSpPr>
          <xdr:cNvPr id="18" name="Agrupar 17">
            <a:extLst>
              <a:ext uri="{FF2B5EF4-FFF2-40B4-BE49-F238E27FC236}">
                <a16:creationId xmlns:a16="http://schemas.microsoft.com/office/drawing/2014/main" id="{6AD5A3C2-3621-422A-8D48-D459909B4887}"/>
              </a:ext>
            </a:extLst>
          </xdr:cNvPr>
          <xdr:cNvGrpSpPr/>
        </xdr:nvGrpSpPr>
        <xdr:grpSpPr>
          <a:xfrm>
            <a:off x="6614160" y="1211581"/>
            <a:ext cx="4244400" cy="1442264"/>
            <a:chOff x="7534275" y="1247776"/>
            <a:chExt cx="4655344" cy="1509984"/>
          </a:xfrm>
        </xdr:grpSpPr>
        <xdr:grpSp>
          <xdr:nvGrpSpPr>
            <xdr:cNvPr id="19" name="Agrupar 18">
              <a:extLst>
                <a:ext uri="{FF2B5EF4-FFF2-40B4-BE49-F238E27FC236}">
                  <a16:creationId xmlns:a16="http://schemas.microsoft.com/office/drawing/2014/main" id="{7A55FF56-982B-0F44-5220-59CEBD93FB01}"/>
                </a:ext>
              </a:extLst>
            </xdr:cNvPr>
            <xdr:cNvGrpSpPr/>
          </xdr:nvGrpSpPr>
          <xdr:grpSpPr>
            <a:xfrm>
              <a:off x="7534275" y="1247776"/>
              <a:ext cx="4655344" cy="1509984"/>
              <a:chOff x="2095500" y="1143001"/>
              <a:chExt cx="4655344" cy="1509984"/>
            </a:xfrm>
          </xdr:grpSpPr>
          <xdr:sp macro="" textlink="">
            <xdr:nvSpPr>
              <xdr:cNvPr id="23" name="Retângulo: Cantos Arredondados 22">
                <a:extLst>
                  <a:ext uri="{FF2B5EF4-FFF2-40B4-BE49-F238E27FC236}">
                    <a16:creationId xmlns:a16="http://schemas.microsoft.com/office/drawing/2014/main" id="{4454F156-4E37-8DAD-56F6-8180612E493E}"/>
                  </a:ext>
                </a:extLst>
              </xdr:cNvPr>
              <xdr:cNvSpPr/>
            </xdr:nvSpPr>
            <xdr:spPr>
              <a:xfrm>
                <a:off x="2095500" y="1202530"/>
                <a:ext cx="4655344" cy="1450455"/>
              </a:xfrm>
              <a:prstGeom prst="roundRect">
                <a:avLst>
                  <a:gd name="adj" fmla="val 4069"/>
                </a:avLst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pt-BR" sz="1100" kern="1200"/>
              </a:p>
            </xdr:txBody>
          </xdr:sp>
          <xdr:sp macro="" textlink="[1]C̳álculos!G51">
            <xdr:nvSpPr>
              <xdr:cNvPr id="24" name="Retângulo: Cantos Arredondados 23">
                <a:extLst>
                  <a:ext uri="{FF2B5EF4-FFF2-40B4-BE49-F238E27FC236}">
                    <a16:creationId xmlns:a16="http://schemas.microsoft.com/office/drawing/2014/main" id="{5BF2BB67-6878-9274-2142-547ED69F539B}"/>
                  </a:ext>
                </a:extLst>
              </xdr:cNvPr>
              <xdr:cNvSpPr/>
            </xdr:nvSpPr>
            <xdr:spPr>
              <a:xfrm>
                <a:off x="3212308" y="1709738"/>
                <a:ext cx="3026569" cy="942975"/>
              </a:xfrm>
              <a:prstGeom prst="roundRect">
                <a:avLst>
                  <a:gd name="adj" fmla="val 4069"/>
                </a:avLst>
              </a:prstGeom>
              <a:noFill/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fld id="{E52E6073-EB91-45C9-81B2-5596C04756C0}" type="TxLink">
                  <a:rPr lang="en-US" sz="3600" b="0" i="0" u="none" strike="noStrike" kern="1200">
                    <a:solidFill>
                      <a:srgbClr val="22C55E"/>
                    </a:solidFill>
                    <a:latin typeface="Aptos Narrow"/>
                  </a:rPr>
                  <a:pPr algn="ctr"/>
                  <a:t> </a:t>
                </a:fld>
                <a:endParaRPr lang="pt-BR" sz="3600" kern="1200">
                  <a:solidFill>
                    <a:srgbClr val="22C55E"/>
                  </a:solidFill>
                </a:endParaRPr>
              </a:p>
            </xdr:txBody>
          </xdr:sp>
          <xdr:sp macro="" textlink="">
            <xdr:nvSpPr>
              <xdr:cNvPr id="25" name="Retângulo: Cantos Superiores Arredondados 24">
                <a:extLst>
                  <a:ext uri="{FF2B5EF4-FFF2-40B4-BE49-F238E27FC236}">
                    <a16:creationId xmlns:a16="http://schemas.microsoft.com/office/drawing/2014/main" id="{A9255586-2535-51AB-D6C6-7D6B7D19B5C7}"/>
                  </a:ext>
                </a:extLst>
              </xdr:cNvPr>
              <xdr:cNvSpPr/>
            </xdr:nvSpPr>
            <xdr:spPr>
              <a:xfrm>
                <a:off x="2095500" y="1143001"/>
                <a:ext cx="4655344" cy="434780"/>
              </a:xfrm>
              <a:prstGeom prst="round2SameRect">
                <a:avLst/>
              </a:prstGeom>
              <a:solidFill>
                <a:srgbClr val="22C55E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ctr"/>
              <a:lstStyle/>
              <a:p>
                <a:pPr algn="ctr"/>
                <a:r>
                  <a:rPr lang="pt-BR" sz="1100" b="1" kern="1200">
                    <a:latin typeface="Segoe UI" panose="020B0502040204020203" pitchFamily="34" charset="0"/>
                    <a:cs typeface="Segoe UI" panose="020B0502040204020203" pitchFamily="34" charset="0"/>
                  </a:rPr>
                  <a:t>TOTAL SUBSCRIPTIONS MINECRAFT</a:t>
                </a:r>
                <a:r>
                  <a:rPr lang="pt-BR" sz="1100" b="1" kern="1200" baseline="0">
                    <a:latin typeface="Segoe UI" panose="020B0502040204020203" pitchFamily="34" charset="0"/>
                    <a:cs typeface="Segoe UI" panose="020B0502040204020203" pitchFamily="34" charset="0"/>
                  </a:rPr>
                  <a:t> </a:t>
                </a:r>
                <a:r>
                  <a:rPr lang="pt-BR" sz="1100" b="1" kern="1200">
                    <a:latin typeface="Segoe UI" panose="020B0502040204020203" pitchFamily="34" charset="0"/>
                    <a:cs typeface="Segoe UI" panose="020B0502040204020203" pitchFamily="34" charset="0"/>
                  </a:rPr>
                  <a:t>SEASON PASS</a:t>
                </a:r>
              </a:p>
            </xdr:txBody>
          </xdr:sp>
        </xdr:grpSp>
        <xdr:grpSp>
          <xdr:nvGrpSpPr>
            <xdr:cNvPr id="20" name="Agrupar 19">
              <a:extLst>
                <a:ext uri="{FF2B5EF4-FFF2-40B4-BE49-F238E27FC236}">
                  <a16:creationId xmlns:a16="http://schemas.microsoft.com/office/drawing/2014/main" id="{5DDD1D87-38BE-91BD-B401-91CF886B2FE3}"/>
                </a:ext>
              </a:extLst>
            </xdr:cNvPr>
            <xdr:cNvGrpSpPr/>
          </xdr:nvGrpSpPr>
          <xdr:grpSpPr>
            <a:xfrm>
              <a:off x="7703345" y="1952626"/>
              <a:ext cx="1083467" cy="583406"/>
              <a:chOff x="3495675" y="5400674"/>
              <a:chExt cx="1549476" cy="752476"/>
            </a:xfrm>
          </xdr:grpSpPr>
          <xdr:pic>
            <xdr:nvPicPr>
              <xdr:cNvPr id="21" name="Imagem 20">
                <a:extLst>
                  <a:ext uri="{FF2B5EF4-FFF2-40B4-BE49-F238E27FC236}">
                    <a16:creationId xmlns:a16="http://schemas.microsoft.com/office/drawing/2014/main" id="{EBED62DE-C5F4-9E3B-4358-7B96AC3CB16A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4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tretch>
                <a:fillRect/>
              </a:stretch>
            </xdr:blipFill>
            <xdr:spPr>
              <a:xfrm>
                <a:off x="3998608" y="5400674"/>
                <a:ext cx="555497" cy="609599"/>
              </a:xfrm>
              <a:prstGeom prst="rect">
                <a:avLst/>
              </a:prstGeom>
              <a:ln>
                <a:noFill/>
              </a:ln>
            </xdr:spPr>
          </xdr:pic>
          <xdr:pic>
            <xdr:nvPicPr>
              <xdr:cNvPr id="22" name="Gráfico 21">
                <a:extLst>
                  <a:ext uri="{FF2B5EF4-FFF2-40B4-BE49-F238E27FC236}">
                    <a16:creationId xmlns:a16="http://schemas.microsoft.com/office/drawing/2014/main" id="{7345B69E-3048-0EB8-25B0-99B2DC62C81D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>
                <a:extLst>
                  <a:ext uri="{96DAC541-7B7A-43D3-8B79-37D633B846F1}">
                    <asvg:svgBlip xmlns:asvg="http://schemas.microsoft.com/office/drawing/2016/SVG/main" r:embed="rId6"/>
                  </a:ext>
                </a:extLst>
              </a:blip>
              <a:stretch>
                <a:fillRect/>
              </a:stretch>
            </xdr:blipFill>
            <xdr:spPr>
              <a:xfrm>
                <a:off x="3495675" y="5895937"/>
                <a:ext cx="1549476" cy="257213"/>
              </a:xfrm>
              <a:prstGeom prst="rect">
                <a:avLst/>
              </a:prstGeom>
            </xdr:spPr>
          </xdr:pic>
        </xdr:grpSp>
      </xdr:grpSp>
      <xdr:sp macro="" textlink="C̳álculos!E33">
        <xdr:nvSpPr>
          <xdr:cNvPr id="26" name="Retângulo: Cantos Arredondados 25">
            <a:extLst>
              <a:ext uri="{FF2B5EF4-FFF2-40B4-BE49-F238E27FC236}">
                <a16:creationId xmlns:a16="http://schemas.microsoft.com/office/drawing/2014/main" id="{FC315177-B270-49FE-BFDF-A26DBE9FC6B9}"/>
              </a:ext>
            </a:extLst>
          </xdr:cNvPr>
          <xdr:cNvSpPr/>
        </xdr:nvSpPr>
        <xdr:spPr>
          <a:xfrm>
            <a:off x="7559040" y="1737360"/>
            <a:ext cx="2759363" cy="859929"/>
          </a:xfrm>
          <a:prstGeom prst="roundRect">
            <a:avLst>
              <a:gd name="adj" fmla="val 4069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7900ED99-277D-4389-9FDC-CCBD042E1E8D}" type="TxLink">
              <a:rPr lang="en-US" sz="3200" b="0" i="0" u="none" strike="noStrike" kern="1200">
                <a:solidFill>
                  <a:srgbClr val="22C55E"/>
                </a:solidFill>
                <a:latin typeface="Aptos Narrow"/>
              </a:rPr>
              <a:pPr algn="ctr"/>
              <a:t>R$ 1.140,00</a:t>
            </a:fld>
            <a:endParaRPr lang="pt-BR" sz="3200" kern="1200">
              <a:solidFill>
                <a:srgbClr val="22C55E"/>
              </a:solidFill>
            </a:endParaRPr>
          </a:p>
        </xdr:txBody>
      </xdr:sp>
    </xdr:grpSp>
    <xdr:clientData/>
  </xdr:twoCellAnchor>
  <xdr:twoCellAnchor>
    <xdr:from>
      <xdr:col>0</xdr:col>
      <xdr:colOff>601980</xdr:colOff>
      <xdr:row>0</xdr:row>
      <xdr:rowOff>137160</xdr:rowOff>
    </xdr:from>
    <xdr:to>
      <xdr:col>0</xdr:col>
      <xdr:colOff>1297305</xdr:colOff>
      <xdr:row>2</xdr:row>
      <xdr:rowOff>121920</xdr:rowOff>
    </xdr:to>
    <xdr:sp macro="" textlink="">
      <xdr:nvSpPr>
        <xdr:cNvPr id="27" name="Elipse 26">
          <a:extLst>
            <a:ext uri="{FF2B5EF4-FFF2-40B4-BE49-F238E27FC236}">
              <a16:creationId xmlns:a16="http://schemas.microsoft.com/office/drawing/2014/main" id="{A2C5E5B2-87F9-4186-A878-953B90123646}"/>
            </a:ext>
          </a:extLst>
        </xdr:cNvPr>
        <xdr:cNvSpPr/>
      </xdr:nvSpPr>
      <xdr:spPr>
        <a:xfrm>
          <a:off x="601980" y="137160"/>
          <a:ext cx="695325" cy="662940"/>
        </a:xfrm>
        <a:prstGeom prst="ellipse">
          <a:avLst/>
        </a:prstGeom>
        <a:blipFill>
          <a:blip xmlns:r="http://schemas.openxmlformats.org/officeDocument/2006/relationships" r:embed="rId7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1</xdr:col>
      <xdr:colOff>205740</xdr:colOff>
      <xdr:row>3</xdr:row>
      <xdr:rowOff>15240</xdr:rowOff>
    </xdr:from>
    <xdr:to>
      <xdr:col>9</xdr:col>
      <xdr:colOff>296109</xdr:colOff>
      <xdr:row>4</xdr:row>
      <xdr:rowOff>40805</xdr:rowOff>
    </xdr:to>
    <xdr:sp macro="" textlink="">
      <xdr:nvSpPr>
        <xdr:cNvPr id="29" name="Retângulo 28">
          <a:extLst>
            <a:ext uri="{FF2B5EF4-FFF2-40B4-BE49-F238E27FC236}">
              <a16:creationId xmlns:a16="http://schemas.microsoft.com/office/drawing/2014/main" id="{48BB67A2-84B6-4422-A684-120B549583C9}"/>
            </a:ext>
          </a:extLst>
        </xdr:cNvPr>
        <xdr:cNvSpPr/>
      </xdr:nvSpPr>
      <xdr:spPr>
        <a:xfrm>
          <a:off x="2087880" y="883920"/>
          <a:ext cx="4601409" cy="21606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050" b="0" kern="1200">
              <a:solidFill>
                <a:schemeClr val="bg1">
                  <a:lumMod val="50000"/>
                </a:schemeClr>
              </a:solidFill>
            </a:rPr>
            <a:t>Calculation period: 01/01/2024 - 31/12/2024 | Update date: 20/08/2026 12:00:00</a:t>
          </a:r>
        </a:p>
      </xdr:txBody>
    </xdr:sp>
    <xdr:clientData/>
  </xdr:twoCellAnchor>
  <xdr:twoCellAnchor editAs="absolute">
    <xdr:from>
      <xdr:col>0</xdr:col>
      <xdr:colOff>22860</xdr:colOff>
      <xdr:row>14</xdr:row>
      <xdr:rowOff>121920</xdr:rowOff>
    </xdr:from>
    <xdr:to>
      <xdr:col>1</xdr:col>
      <xdr:colOff>22860</xdr:colOff>
      <xdr:row>17</xdr:row>
      <xdr:rowOff>51435</xdr:rowOff>
    </xdr:to>
    <xdr:sp macro="" textlink="">
      <xdr:nvSpPr>
        <xdr:cNvPr id="30" name="Retângulo 29">
          <a:extLst>
            <a:ext uri="{FF2B5EF4-FFF2-40B4-BE49-F238E27FC236}">
              <a16:creationId xmlns:a16="http://schemas.microsoft.com/office/drawing/2014/main" id="{657D2F19-278A-41CB-825B-882514782320}"/>
            </a:ext>
          </a:extLst>
        </xdr:cNvPr>
        <xdr:cNvSpPr/>
      </xdr:nvSpPr>
      <xdr:spPr>
        <a:xfrm>
          <a:off x="22860" y="2895600"/>
          <a:ext cx="1882140" cy="4781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0">
              <a:solidFill>
                <a:schemeClr val="bg1"/>
              </a:solidFill>
            </a:rPr>
            <a:t>SYSTEM BY BRUNA DIAS </a:t>
          </a:r>
          <a:r>
            <a:rPr lang="pt-BR" sz="1100" b="1">
              <a:solidFill>
                <a:schemeClr val="bg1"/>
              </a:solidFill>
            </a:rPr>
            <a:t>🎲</a:t>
          </a:r>
        </a:p>
      </xdr:txBody>
    </xdr:sp>
    <xdr:clientData/>
  </xdr:twoCellAnchor>
  <xdr:twoCellAnchor editAs="absolute">
    <xdr:from>
      <xdr:col>0</xdr:col>
      <xdr:colOff>685800</xdr:colOff>
      <xdr:row>16</xdr:row>
      <xdr:rowOff>7620</xdr:rowOff>
    </xdr:from>
    <xdr:to>
      <xdr:col>0</xdr:col>
      <xdr:colOff>1030984</xdr:colOff>
      <xdr:row>17</xdr:row>
      <xdr:rowOff>154306</xdr:rowOff>
    </xdr:to>
    <xdr:pic macro="[2]!MoverIconeParaPosicao">
      <xdr:nvPicPr>
        <xdr:cNvPr id="31" name="icon_link" descr="Linkedin White Icons – Free Download SVG, PNG, 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36322AB2-0787-498D-82DD-3D73DF7DA5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3147060"/>
          <a:ext cx="345184" cy="3295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167640</xdr:colOff>
      <xdr:row>5</xdr:row>
      <xdr:rowOff>45720</xdr:rowOff>
    </xdr:from>
    <xdr:to>
      <xdr:col>0</xdr:col>
      <xdr:colOff>1720215</xdr:colOff>
      <xdr:row>5</xdr:row>
      <xdr:rowOff>45720</xdr:rowOff>
    </xdr:to>
    <xdr:cxnSp macro="">
      <xdr:nvCxnSpPr>
        <xdr:cNvPr id="32" name="Conector reto 31">
          <a:extLst>
            <a:ext uri="{FF2B5EF4-FFF2-40B4-BE49-F238E27FC236}">
              <a16:creationId xmlns:a16="http://schemas.microsoft.com/office/drawing/2014/main" id="{46BCAF10-5079-4839-A5B7-87A656A45821}"/>
            </a:ext>
          </a:extLst>
        </xdr:cNvPr>
        <xdr:cNvCxnSpPr/>
      </xdr:nvCxnSpPr>
      <xdr:spPr>
        <a:xfrm>
          <a:off x="167640" y="1234440"/>
          <a:ext cx="1552575" cy="0"/>
        </a:xfrm>
        <a:prstGeom prst="line">
          <a:avLst/>
        </a:prstGeom>
        <a:ln>
          <a:solidFill>
            <a:schemeClr val="bg1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Users/bruna/AppData/Local/Temp/MicrosoftEdgeDownloads/303ca60b-413f-4f0f-b259-f5f5018fbc88/0120950e-64c8-4092-a257-ba22ed198c69.xlsx" TargetMode="External"/><Relationship Id="rId2" Type="http://schemas.openxmlformats.org/officeDocument/2006/relationships/externalLinkPath" Target="file:///C:\Users\bruna\AppData\Local\Temp\MicrosoftEdgeDownloads\303ca60b-413f-4f0f-b259-f5f5018fbc88\0120950e-64c8-4092-a257-ba22ed198c69.xlsx" TargetMode="External"/><Relationship Id="rId1" Type="http://schemas.openxmlformats.org/officeDocument/2006/relationships/externalLinkPath" Target="/Users/bruna/AppData/Local/Temp/MicrosoftEdgeDownloads/303ca60b-413f-4f0f-b259-f5f5018fbc88/0120950e-64c8-4092-a257-ba22ed198c69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Organizador%20de%20Declara&#231;&#227;o%20de%20Imposto%20de%20Renda.xlsm" TargetMode="External"/><Relationship Id="rId2" Type="http://schemas.openxmlformats.org/officeDocument/2006/relationships/externalLinkPath" Target="https://d.docs.live.net/e29fb2d12606b095/&#193;rea%20de%20Trabalho/Projetos/Organizador%20de%20Declara&#231;&#227;o%20de%20Imposto%20de%20Renda.xlsm" TargetMode="External"/><Relationship Id="rId1" Type="http://schemas.openxmlformats.org/officeDocument/2006/relationships/externalLinkPath" Target="/e29fb2d12606b095/&#193;rea%20de%20Trabalho/Projetos/Organizador%20de%20Declara&#231;&#227;o%20de%20Imposto%20de%20Rend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̳ssets"/>
      <sheetName val="B̳ases"/>
      <sheetName val="C̳álculos"/>
      <sheetName val="D̳ashboard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ITULAR"/>
      <sheetName val="INFORMES"/>
      <sheetName val="NOTAS"/>
      <sheetName val="TABELAS"/>
      <sheetName val="Organizador de Declaração de Im"/>
    </sheetNames>
    <definedNames>
      <definedName name="MoverIconeParaPosicao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runa/AppData/Local/Temp/MicrosoftEdgeDownloads/303ca60b-413f-4f0f-b259-f5f5018fbc88/0120950e-64c8-4092-a257-ba22ed198c69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una Dias" refreshedDate="46254.511258680555" createdVersion="8" refreshedVersion="8" minRefreshableVersion="3" recordCount="295" xr:uid="{2551A83C-056B-41B1-89B5-9C5C6FAF3422}">
  <cacheSource type="worksheet">
    <worksheetSource name="Tabela1" r:id="rId2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/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/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24459713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s v="João Silva"/>
    <x v="0"/>
    <d v="2024-01-01T00:00:00"/>
    <x v="0"/>
    <n v="15"/>
    <x v="0"/>
    <s v="Yes"/>
    <n v="30"/>
    <s v="Yes"/>
    <n v="20"/>
    <n v="5"/>
    <n v="60"/>
  </r>
  <r>
    <n v="3232"/>
    <s v="Maria Oliveira"/>
    <x v="1"/>
    <d v="2024-01-15T00:00:00"/>
    <x v="1"/>
    <n v="5"/>
    <x v="1"/>
    <s v="No"/>
    <s v="-"/>
    <s v="No"/>
    <n v="0"/>
    <n v="0"/>
    <n v="5"/>
  </r>
  <r>
    <n v="3233"/>
    <s v="Lucas Fernandes"/>
    <x v="2"/>
    <d v="2024-02-10T00:00:00"/>
    <x v="0"/>
    <n v="10"/>
    <x v="2"/>
    <s v="No"/>
    <s v="-"/>
    <s v="Yes"/>
    <n v="20"/>
    <n v="10"/>
    <n v="20"/>
  </r>
  <r>
    <n v="3234"/>
    <s v="Ana Souza"/>
    <x v="0"/>
    <d v="2024-02-20T00:00:00"/>
    <x v="1"/>
    <n v="15"/>
    <x v="0"/>
    <s v="Yes"/>
    <n v="30"/>
    <s v="Yes"/>
    <n v="20"/>
    <n v="3"/>
    <n v="62"/>
  </r>
  <r>
    <n v="3235"/>
    <s v="Pedro Gonçalves"/>
    <x v="1"/>
    <d v="2024-03-05T00:00:00"/>
    <x v="0"/>
    <n v="5"/>
    <x v="0"/>
    <s v="No"/>
    <s v="-"/>
    <s v="No"/>
    <n v="0"/>
    <n v="1"/>
    <n v="4"/>
  </r>
  <r>
    <n v="3236"/>
    <s v="Felipe Costa"/>
    <x v="2"/>
    <d v="2024-03-02T00:00:00"/>
    <x v="1"/>
    <n v="10"/>
    <x v="0"/>
    <s v="No"/>
    <s v="-"/>
    <s v="Yes"/>
    <n v="20"/>
    <n v="2"/>
    <n v="28"/>
  </r>
  <r>
    <n v="3237"/>
    <s v="Camila Ribeiro"/>
    <x v="0"/>
    <d v="2024-03-03T00:00:00"/>
    <x v="0"/>
    <n v="15"/>
    <x v="2"/>
    <s v="Yes"/>
    <n v="30"/>
    <s v="Yes"/>
    <n v="20"/>
    <n v="10"/>
    <n v="55"/>
  </r>
  <r>
    <n v="3238"/>
    <s v="André Mendes"/>
    <x v="1"/>
    <d v="2024-03-04T00:00:00"/>
    <x v="0"/>
    <n v="5"/>
    <x v="1"/>
    <s v="No"/>
    <s v="-"/>
    <s v="No"/>
    <n v="0"/>
    <n v="0"/>
    <n v="5"/>
  </r>
  <r>
    <n v="3239"/>
    <s v="Sofia Almeida"/>
    <x v="0"/>
    <d v="2024-03-05T00:00:00"/>
    <x v="1"/>
    <n v="15"/>
    <x v="0"/>
    <s v="Yes"/>
    <n v="30"/>
    <s v="Yes"/>
    <n v="20"/>
    <n v="5"/>
    <n v="60"/>
  </r>
  <r>
    <n v="3240"/>
    <s v="Bruno Martins"/>
    <x v="2"/>
    <d v="2024-03-06T00:00:00"/>
    <x v="0"/>
    <n v="10"/>
    <x v="2"/>
    <s v="No"/>
    <s v="-"/>
    <s v="Yes"/>
    <n v="20"/>
    <n v="15"/>
    <n v="15"/>
  </r>
  <r>
    <n v="3241"/>
    <s v="Rita Castro"/>
    <x v="1"/>
    <d v="2024-03-07T00:00:00"/>
    <x v="1"/>
    <n v="5"/>
    <x v="0"/>
    <s v="No"/>
    <s v="-"/>
    <s v="No"/>
    <n v="0"/>
    <n v="1"/>
    <n v="4"/>
  </r>
  <r>
    <n v="3242"/>
    <s v="Marco Túlio"/>
    <x v="0"/>
    <d v="2024-03-08T00:00:00"/>
    <x v="0"/>
    <n v="15"/>
    <x v="1"/>
    <s v="Yes"/>
    <n v="30"/>
    <s v="Yes"/>
    <n v="20"/>
    <n v="20"/>
    <n v="45"/>
  </r>
  <r>
    <n v="3243"/>
    <s v="Lívia Silveira"/>
    <x v="2"/>
    <d v="2024-03-09T00:00:00"/>
    <x v="1"/>
    <n v="10"/>
    <x v="0"/>
    <s v="No"/>
    <s v="-"/>
    <s v="Yes"/>
    <n v="20"/>
    <n v="10"/>
    <n v="20"/>
  </r>
  <r>
    <n v="3244"/>
    <s v="Diogo Sousa"/>
    <x v="1"/>
    <d v="2024-03-10T00:00:00"/>
    <x v="0"/>
    <n v="5"/>
    <x v="2"/>
    <s v="No"/>
    <s v="-"/>
    <s v="No"/>
    <n v="0"/>
    <n v="0"/>
    <n v="5"/>
  </r>
  <r>
    <n v="3245"/>
    <s v="Fernanda Lima"/>
    <x v="0"/>
    <d v="2024-03-11T00:00:00"/>
    <x v="1"/>
    <n v="15"/>
    <x v="0"/>
    <s v="Yes"/>
    <n v="30"/>
    <s v="Yes"/>
    <n v="20"/>
    <n v="8"/>
    <n v="57"/>
  </r>
  <r>
    <n v="3246"/>
    <s v="Caio Pereira"/>
    <x v="2"/>
    <d v="2024-03-12T00:00:00"/>
    <x v="0"/>
    <n v="10"/>
    <x v="1"/>
    <s v="No"/>
    <s v="-"/>
    <s v="Yes"/>
    <n v="20"/>
    <n v="12"/>
    <n v="18"/>
  </r>
  <r>
    <n v="3247"/>
    <s v="Beatriz Gomes"/>
    <x v="1"/>
    <d v="2024-03-13T00:00:00"/>
    <x v="1"/>
    <n v="5"/>
    <x v="0"/>
    <s v="No"/>
    <s v="-"/>
    <s v="No"/>
    <n v="0"/>
    <n v="2"/>
    <n v="3"/>
  </r>
  <r>
    <n v="3248"/>
    <s v="Cesar Oliveira"/>
    <x v="0"/>
    <d v="2024-03-14T00:00:00"/>
    <x v="0"/>
    <n v="15"/>
    <x v="2"/>
    <s v="Yes"/>
    <n v="30"/>
    <s v="Yes"/>
    <n v="20"/>
    <n v="7"/>
    <n v="58"/>
  </r>
  <r>
    <n v="3249"/>
    <s v="Débora Machado"/>
    <x v="2"/>
    <d v="2024-03-15T00:00:00"/>
    <x v="1"/>
    <n v="10"/>
    <x v="0"/>
    <s v="No"/>
    <s v="-"/>
    <s v="Yes"/>
    <n v="20"/>
    <n v="5"/>
    <n v="25"/>
  </r>
  <r>
    <n v="3250"/>
    <s v="Eduardo Vargas"/>
    <x v="1"/>
    <d v="2024-03-16T00:00:00"/>
    <x v="0"/>
    <n v="5"/>
    <x v="1"/>
    <s v="No"/>
    <s v="-"/>
    <s v="No"/>
    <n v="0"/>
    <n v="0"/>
    <n v="5"/>
  </r>
  <r>
    <n v="3251"/>
    <s v="Gabriela Santos"/>
    <x v="0"/>
    <d v="2024-03-17T00:00:00"/>
    <x v="1"/>
    <n v="15"/>
    <x v="0"/>
    <s v="Yes"/>
    <n v="30"/>
    <s v="Yes"/>
    <n v="20"/>
    <n v="3"/>
    <n v="62"/>
  </r>
  <r>
    <n v="3252"/>
    <s v="Henrique Dias"/>
    <x v="2"/>
    <d v="2024-03-18T00:00:00"/>
    <x v="0"/>
    <n v="10"/>
    <x v="2"/>
    <s v="No"/>
    <s v="-"/>
    <s v="Yes"/>
    <n v="20"/>
    <n v="15"/>
    <n v="15"/>
  </r>
  <r>
    <n v="3253"/>
    <s v="Isabela Moreira"/>
    <x v="1"/>
    <d v="2024-03-19T00:00:00"/>
    <x v="1"/>
    <n v="5"/>
    <x v="0"/>
    <s v="No"/>
    <s v="-"/>
    <s v="No"/>
    <n v="0"/>
    <n v="1"/>
    <n v="4"/>
  </r>
  <r>
    <n v="3254"/>
    <s v="Joaquim Barbosa"/>
    <x v="0"/>
    <d v="2024-03-20T00:00:00"/>
    <x v="0"/>
    <n v="15"/>
    <x v="1"/>
    <s v="Yes"/>
    <n v="30"/>
    <s v="Yes"/>
    <n v="20"/>
    <n v="20"/>
    <n v="45"/>
  </r>
  <r>
    <n v="3255"/>
    <s v="Lara Rocha"/>
    <x v="2"/>
    <d v="2024-03-21T00:00:00"/>
    <x v="1"/>
    <n v="10"/>
    <x v="0"/>
    <s v="No"/>
    <s v="-"/>
    <s v="Yes"/>
    <n v="20"/>
    <n v="10"/>
    <n v="20"/>
  </r>
  <r>
    <n v="3256"/>
    <s v="Matheus Silva"/>
    <x v="1"/>
    <d v="2024-03-22T00:00:00"/>
    <x v="0"/>
    <n v="5"/>
    <x v="2"/>
    <s v="No"/>
    <s v="-"/>
    <s v="No"/>
    <n v="0"/>
    <n v="0"/>
    <n v="5"/>
  </r>
  <r>
    <n v="3257"/>
    <s v="Nicole Costa"/>
    <x v="0"/>
    <d v="2024-03-23T00:00:00"/>
    <x v="1"/>
    <n v="15"/>
    <x v="0"/>
    <s v="Yes"/>
    <n v="30"/>
    <s v="Yes"/>
    <n v="20"/>
    <n v="5"/>
    <n v="60"/>
  </r>
  <r>
    <n v="3258"/>
    <s v="Otávio Mendonça"/>
    <x v="2"/>
    <d v="2024-03-24T00:00:00"/>
    <x v="0"/>
    <n v="10"/>
    <x v="1"/>
    <s v="No"/>
    <s v="-"/>
    <s v="Yes"/>
    <n v="20"/>
    <n v="15"/>
    <n v="15"/>
  </r>
  <r>
    <n v="3259"/>
    <s v="Paula Ferreira"/>
    <x v="1"/>
    <d v="2024-03-25T00:00:00"/>
    <x v="1"/>
    <n v="5"/>
    <x v="0"/>
    <s v="No"/>
    <s v="-"/>
    <s v="No"/>
    <n v="0"/>
    <n v="1"/>
    <n v="4"/>
  </r>
  <r>
    <n v="3260"/>
    <s v="Raquel Alves"/>
    <x v="0"/>
    <d v="2024-03-26T00:00:00"/>
    <x v="0"/>
    <n v="15"/>
    <x v="2"/>
    <s v="Yes"/>
    <n v="30"/>
    <s v="Yes"/>
    <n v="20"/>
    <n v="7"/>
    <n v="58"/>
  </r>
  <r>
    <n v="3261"/>
    <s v="Samuel Pires"/>
    <x v="2"/>
    <d v="2024-03-27T00:00:00"/>
    <x v="1"/>
    <n v="10"/>
    <x v="0"/>
    <s v="No"/>
    <s v="-"/>
    <s v="Yes"/>
    <n v="20"/>
    <n v="10"/>
    <n v="20"/>
  </r>
  <r>
    <n v="3262"/>
    <s v="Tânia Barros"/>
    <x v="1"/>
    <d v="2024-03-28T00:00:00"/>
    <x v="0"/>
    <n v="5"/>
    <x v="1"/>
    <s v="No"/>
    <s v="-"/>
    <s v="No"/>
    <n v="0"/>
    <n v="0"/>
    <n v="5"/>
  </r>
  <r>
    <n v="3263"/>
    <s v="Vinicius Lima"/>
    <x v="0"/>
    <d v="2024-03-29T00:00:00"/>
    <x v="1"/>
    <n v="15"/>
    <x v="0"/>
    <s v="Yes"/>
    <n v="30"/>
    <s v="Yes"/>
    <n v="20"/>
    <n v="3"/>
    <n v="62"/>
  </r>
  <r>
    <n v="3264"/>
    <s v="Yasmin Teixeira"/>
    <x v="2"/>
    <d v="2024-03-30T00:00:00"/>
    <x v="0"/>
    <n v="10"/>
    <x v="2"/>
    <s v="No"/>
    <s v="-"/>
    <s v="Yes"/>
    <n v="20"/>
    <n v="15"/>
    <n v="15"/>
  </r>
  <r>
    <n v="3265"/>
    <s v="Zé Carlos"/>
    <x v="1"/>
    <d v="2024-03-31T00:00:00"/>
    <x v="1"/>
    <n v="5"/>
    <x v="0"/>
    <s v="No"/>
    <s v="-"/>
    <s v="No"/>
    <n v="0"/>
    <n v="1"/>
    <n v="4"/>
  </r>
  <r>
    <n v="3266"/>
    <s v="Amanda Nogueira"/>
    <x v="1"/>
    <d v="2024-04-01T00:00:00"/>
    <x v="0"/>
    <n v="5"/>
    <x v="0"/>
    <s v="No"/>
    <s v="-"/>
    <s v="No"/>
    <n v="0"/>
    <n v="0"/>
    <n v="5"/>
  </r>
  <r>
    <n v="3267"/>
    <s v="Bruno Cavalheiro"/>
    <x v="0"/>
    <d v="2024-04-02T00:00:00"/>
    <x v="1"/>
    <n v="15"/>
    <x v="2"/>
    <s v="Yes"/>
    <n v="30"/>
    <s v="Yes"/>
    <n v="20"/>
    <n v="7"/>
    <n v="58"/>
  </r>
  <r>
    <n v="3268"/>
    <s v="Carla Dias"/>
    <x v="2"/>
    <d v="2024-04-03T00:00:00"/>
    <x v="0"/>
    <n v="10"/>
    <x v="1"/>
    <s v="No"/>
    <s v="-"/>
    <s v="Yes"/>
    <n v="20"/>
    <n v="10"/>
    <n v="20"/>
  </r>
  <r>
    <n v="3269"/>
    <s v="Diego Fontes"/>
    <x v="1"/>
    <d v="2024-04-04T00:00:00"/>
    <x v="1"/>
    <n v="5"/>
    <x v="2"/>
    <s v="No"/>
    <s v="-"/>
    <s v="No"/>
    <n v="0"/>
    <n v="1"/>
    <n v="4"/>
  </r>
  <r>
    <n v="3270"/>
    <s v="Eunice Lima"/>
    <x v="0"/>
    <d v="2024-04-05T00:00:00"/>
    <x v="0"/>
    <n v="15"/>
    <x v="0"/>
    <s v="Yes"/>
    <n v="30"/>
    <s v="Yes"/>
    <n v="20"/>
    <n v="15"/>
    <n v="50"/>
  </r>
  <r>
    <n v="3271"/>
    <s v="Fábio Martins"/>
    <x v="2"/>
    <d v="2024-04-06T00:00:00"/>
    <x v="1"/>
    <n v="10"/>
    <x v="0"/>
    <s v="No"/>
    <s v="-"/>
    <s v="Yes"/>
    <n v="20"/>
    <n v="5"/>
    <n v="25"/>
  </r>
  <r>
    <n v="3272"/>
    <s v="Gisele Araújo"/>
    <x v="1"/>
    <d v="2024-04-07T00:00:00"/>
    <x v="0"/>
    <n v="5"/>
    <x v="1"/>
    <s v="No"/>
    <s v="-"/>
    <s v="No"/>
    <n v="0"/>
    <n v="0"/>
    <n v="5"/>
  </r>
  <r>
    <n v="3273"/>
    <s v="Hélio Castro"/>
    <x v="0"/>
    <d v="2024-04-08T00:00:00"/>
    <x v="1"/>
    <n v="15"/>
    <x v="2"/>
    <s v="Yes"/>
    <n v="30"/>
    <s v="Yes"/>
    <n v="20"/>
    <n v="20"/>
    <n v="45"/>
  </r>
  <r>
    <n v="3274"/>
    <s v="Ingrid Menezes"/>
    <x v="2"/>
    <d v="2024-04-09T00:00:00"/>
    <x v="0"/>
    <n v="10"/>
    <x v="2"/>
    <s v="No"/>
    <s v="-"/>
    <s v="Yes"/>
    <n v="20"/>
    <n v="12"/>
    <n v="18"/>
  </r>
  <r>
    <n v="3275"/>
    <s v="Jorge Baptista"/>
    <x v="1"/>
    <d v="2024-04-10T00:00:00"/>
    <x v="1"/>
    <n v="5"/>
    <x v="0"/>
    <s v="No"/>
    <s v="-"/>
    <s v="No"/>
    <n v="0"/>
    <n v="2"/>
    <n v="3"/>
  </r>
  <r>
    <n v="3276"/>
    <s v="Kléber Oliveira"/>
    <x v="0"/>
    <d v="2024-04-11T00:00:00"/>
    <x v="0"/>
    <n v="15"/>
    <x v="1"/>
    <s v="Yes"/>
    <n v="30"/>
    <s v="Yes"/>
    <n v="20"/>
    <n v="5"/>
    <n v="60"/>
  </r>
  <r>
    <n v="3277"/>
    <s v="Luciana Freitas"/>
    <x v="2"/>
    <d v="2024-04-12T00:00:00"/>
    <x v="1"/>
    <n v="10"/>
    <x v="0"/>
    <s v="No"/>
    <s v="-"/>
    <s v="Yes"/>
    <n v="20"/>
    <n v="10"/>
    <n v="20"/>
  </r>
  <r>
    <n v="3278"/>
    <s v="Márcia Eller"/>
    <x v="1"/>
    <d v="2024-04-13T00:00:00"/>
    <x v="0"/>
    <n v="5"/>
    <x v="2"/>
    <s v="No"/>
    <s v="-"/>
    <s v="No"/>
    <n v="0"/>
    <n v="0"/>
    <n v="5"/>
  </r>
  <r>
    <n v="3279"/>
    <s v="Nilo Peçanha"/>
    <x v="0"/>
    <d v="2024-04-14T00:00:00"/>
    <x v="1"/>
    <n v="15"/>
    <x v="0"/>
    <s v="Yes"/>
    <n v="30"/>
    <s v="Yes"/>
    <n v="20"/>
    <n v="3"/>
    <n v="62"/>
  </r>
  <r>
    <n v="3280"/>
    <s v="Oscar Neves"/>
    <x v="2"/>
    <d v="2024-04-15T00:00:00"/>
    <x v="0"/>
    <n v="10"/>
    <x v="1"/>
    <s v="No"/>
    <s v="-"/>
    <s v="Yes"/>
    <n v="20"/>
    <n v="15"/>
    <n v="15"/>
  </r>
  <r>
    <n v="3281"/>
    <s v="Patrícia Soares"/>
    <x v="1"/>
    <d v="2024-04-16T00:00:00"/>
    <x v="1"/>
    <n v="5"/>
    <x v="0"/>
    <s v="No"/>
    <s v="-"/>
    <s v="No"/>
    <n v="0"/>
    <n v="1"/>
    <n v="4"/>
  </r>
  <r>
    <n v="3282"/>
    <s v="Quirino Gonçalves"/>
    <x v="0"/>
    <d v="2024-04-17T00:00:00"/>
    <x v="0"/>
    <n v="15"/>
    <x v="2"/>
    <s v="Yes"/>
    <n v="30"/>
    <s v="Yes"/>
    <n v="20"/>
    <n v="7"/>
    <n v="58"/>
  </r>
  <r>
    <n v="3283"/>
    <s v="Raul Machado"/>
    <x v="2"/>
    <d v="2024-04-18T00:00:00"/>
    <x v="1"/>
    <n v="10"/>
    <x v="0"/>
    <s v="No"/>
    <s v="-"/>
    <s v="Yes"/>
    <n v="20"/>
    <n v="10"/>
    <n v="20"/>
  </r>
  <r>
    <n v="3284"/>
    <s v="Sônia Lobo"/>
    <x v="1"/>
    <d v="2024-04-19T00:00:00"/>
    <x v="0"/>
    <n v="5"/>
    <x v="1"/>
    <s v="No"/>
    <s v="-"/>
    <s v="No"/>
    <n v="0"/>
    <n v="0"/>
    <n v="5"/>
  </r>
  <r>
    <n v="3285"/>
    <s v="Tiago Ramos"/>
    <x v="0"/>
    <d v="2024-04-20T00:00:00"/>
    <x v="1"/>
    <n v="15"/>
    <x v="0"/>
    <s v="Yes"/>
    <n v="30"/>
    <s v="Yes"/>
    <n v="20"/>
    <n v="20"/>
    <n v="45"/>
  </r>
  <r>
    <n v="3286"/>
    <s v="Ugo Pires"/>
    <x v="2"/>
    <d v="2024-04-21T00:00:00"/>
    <x v="0"/>
    <n v="10"/>
    <x v="2"/>
    <s v="No"/>
    <s v="-"/>
    <s v="Yes"/>
    <n v="20"/>
    <n v="15"/>
    <n v="15"/>
  </r>
  <r>
    <n v="3287"/>
    <s v="Valéria Nobre"/>
    <x v="1"/>
    <d v="2024-04-22T00:00:00"/>
    <x v="1"/>
    <n v="5"/>
    <x v="0"/>
    <s v="No"/>
    <s v="-"/>
    <s v="No"/>
    <n v="0"/>
    <n v="1"/>
    <n v="4"/>
  </r>
  <r>
    <n v="3288"/>
    <s v="William Siqueira"/>
    <x v="0"/>
    <d v="2024-04-23T00:00:00"/>
    <x v="0"/>
    <n v="15"/>
    <x v="1"/>
    <s v="Yes"/>
    <n v="30"/>
    <s v="Yes"/>
    <n v="20"/>
    <n v="3"/>
    <n v="62"/>
  </r>
  <r>
    <n v="3289"/>
    <s v="Xuxa Meneghel"/>
    <x v="2"/>
    <d v="2024-04-24T00:00:00"/>
    <x v="1"/>
    <n v="10"/>
    <x v="0"/>
    <s v="No"/>
    <s v="-"/>
    <s v="Yes"/>
    <n v="20"/>
    <n v="10"/>
    <n v="20"/>
  </r>
  <r>
    <n v="3290"/>
    <s v="Yara Figueiredo"/>
    <x v="1"/>
    <d v="2024-04-25T00:00:00"/>
    <x v="0"/>
    <n v="5"/>
    <x v="2"/>
    <s v="No"/>
    <s v="-"/>
    <s v="No"/>
    <n v="0"/>
    <n v="0"/>
    <n v="5"/>
  </r>
  <r>
    <n v="3291"/>
    <s v="Zacarias Alves"/>
    <x v="0"/>
    <d v="2024-04-26T00:00:00"/>
    <x v="1"/>
    <n v="15"/>
    <x v="0"/>
    <s v="Yes"/>
    <n v="30"/>
    <s v="Yes"/>
    <n v="20"/>
    <n v="5"/>
    <n v="60"/>
  </r>
  <r>
    <n v="3292"/>
    <s v="Amanda Bynes"/>
    <x v="2"/>
    <d v="2024-04-27T00:00:00"/>
    <x v="0"/>
    <n v="10"/>
    <x v="1"/>
    <s v="No"/>
    <s v="-"/>
    <s v="Yes"/>
    <n v="20"/>
    <n v="15"/>
    <n v="15"/>
  </r>
  <r>
    <n v="3293"/>
    <s v="Bruno Mars"/>
    <x v="1"/>
    <d v="2024-04-28T00:00:00"/>
    <x v="1"/>
    <n v="5"/>
    <x v="0"/>
    <s v="No"/>
    <s v="-"/>
    <s v="No"/>
    <n v="0"/>
    <n v="1"/>
    <n v="4"/>
  </r>
  <r>
    <n v="3294"/>
    <s v="Carla Bruni"/>
    <x v="0"/>
    <d v="2024-04-29T00:00:00"/>
    <x v="0"/>
    <n v="15"/>
    <x v="2"/>
    <s v="Yes"/>
    <n v="30"/>
    <s v="Yes"/>
    <n v="20"/>
    <n v="20"/>
    <n v="45"/>
  </r>
  <r>
    <n v="3295"/>
    <s v="Diego Maradona"/>
    <x v="2"/>
    <d v="2024-04-30T00:00:00"/>
    <x v="1"/>
    <n v="10"/>
    <x v="0"/>
    <s v="No"/>
    <s v="-"/>
    <s v="Yes"/>
    <n v="20"/>
    <n v="5"/>
    <n v="25"/>
  </r>
  <r>
    <n v="3296"/>
    <s v="Estela Marques"/>
    <x v="1"/>
    <d v="2024-05-01T00:00:00"/>
    <x v="1"/>
    <n v="5"/>
    <x v="0"/>
    <s v="No"/>
    <s v="-"/>
    <s v="No"/>
    <n v="0"/>
    <n v="0"/>
    <n v="5"/>
  </r>
  <r>
    <n v="3297"/>
    <s v="Fábio Nobre"/>
    <x v="0"/>
    <d v="2024-05-02T00:00:00"/>
    <x v="0"/>
    <n v="15"/>
    <x v="2"/>
    <s v="Yes"/>
    <n v="30"/>
    <s v="Yes"/>
    <n v="20"/>
    <n v="7"/>
    <n v="58"/>
  </r>
  <r>
    <n v="3298"/>
    <s v="Gabriel Oliveira"/>
    <x v="2"/>
    <d v="2024-05-03T00:00:00"/>
    <x v="1"/>
    <n v="10"/>
    <x v="1"/>
    <s v="No"/>
    <s v="-"/>
    <s v="Yes"/>
    <n v="20"/>
    <n v="10"/>
    <n v="20"/>
  </r>
  <r>
    <n v="3299"/>
    <s v="Helena Santos"/>
    <x v="1"/>
    <d v="2024-05-04T00:00:00"/>
    <x v="0"/>
    <n v="5"/>
    <x v="2"/>
    <s v="No"/>
    <s v="-"/>
    <s v="No"/>
    <n v="0"/>
    <n v="1"/>
    <n v="4"/>
  </r>
  <r>
    <n v="3300"/>
    <s v="Ivan Carvalho"/>
    <x v="0"/>
    <d v="2024-05-05T00:00:00"/>
    <x v="1"/>
    <n v="15"/>
    <x v="0"/>
    <s v="Yes"/>
    <n v="30"/>
    <s v="Yes"/>
    <n v="20"/>
    <n v="15"/>
    <n v="50"/>
  </r>
  <r>
    <n v="3301"/>
    <s v="Júlia Ferreira"/>
    <x v="2"/>
    <d v="2024-05-06T00:00:00"/>
    <x v="0"/>
    <n v="10"/>
    <x v="0"/>
    <s v="No"/>
    <s v="-"/>
    <s v="Yes"/>
    <n v="20"/>
    <n v="5"/>
    <n v="25"/>
  </r>
  <r>
    <n v="3302"/>
    <s v="Karla Alves"/>
    <x v="1"/>
    <d v="2024-05-07T00:00:00"/>
    <x v="1"/>
    <n v="5"/>
    <x v="1"/>
    <s v="No"/>
    <s v="-"/>
    <s v="No"/>
    <n v="0"/>
    <n v="0"/>
    <n v="5"/>
  </r>
  <r>
    <n v="3303"/>
    <s v="Lucas Mendes"/>
    <x v="0"/>
    <d v="2024-05-08T00:00:00"/>
    <x v="0"/>
    <n v="15"/>
    <x v="2"/>
    <s v="Yes"/>
    <n v="30"/>
    <s v="Yes"/>
    <n v="20"/>
    <n v="20"/>
    <n v="45"/>
  </r>
  <r>
    <n v="3304"/>
    <s v="Mônica Gomes"/>
    <x v="2"/>
    <d v="2024-05-09T00:00:00"/>
    <x v="1"/>
    <n v="10"/>
    <x v="2"/>
    <s v="No"/>
    <s v="-"/>
    <s v="Yes"/>
    <n v="20"/>
    <n v="12"/>
    <n v="18"/>
  </r>
  <r>
    <n v="3305"/>
    <s v="Norberto Queiroz"/>
    <x v="1"/>
    <d v="2024-05-10T00:00:00"/>
    <x v="0"/>
    <n v="5"/>
    <x v="0"/>
    <s v="No"/>
    <s v="-"/>
    <s v="No"/>
    <n v="0"/>
    <n v="2"/>
    <n v="3"/>
  </r>
  <r>
    <n v="3306"/>
    <s v="Otávio Barros"/>
    <x v="0"/>
    <d v="2024-05-11T00:00:00"/>
    <x v="1"/>
    <n v="15"/>
    <x v="1"/>
    <s v="Yes"/>
    <n v="30"/>
    <s v="Yes"/>
    <n v="20"/>
    <n v="5"/>
    <n v="60"/>
  </r>
  <r>
    <n v="3307"/>
    <s v="Paula Vieira"/>
    <x v="2"/>
    <d v="2024-05-12T00:00:00"/>
    <x v="0"/>
    <n v="10"/>
    <x v="0"/>
    <s v="No"/>
    <s v="-"/>
    <s v="Yes"/>
    <n v="20"/>
    <n v="10"/>
    <n v="20"/>
  </r>
  <r>
    <n v="3308"/>
    <s v="Quentin Ramos"/>
    <x v="1"/>
    <d v="2024-05-13T00:00:00"/>
    <x v="1"/>
    <n v="5"/>
    <x v="2"/>
    <s v="No"/>
    <s v="-"/>
    <s v="No"/>
    <n v="0"/>
    <n v="0"/>
    <n v="5"/>
  </r>
  <r>
    <n v="3309"/>
    <s v="Raquel Novaes"/>
    <x v="0"/>
    <d v="2024-05-14T00:00:00"/>
    <x v="0"/>
    <n v="15"/>
    <x v="0"/>
    <s v="Yes"/>
    <n v="30"/>
    <s v="Yes"/>
    <n v="20"/>
    <n v="3"/>
    <n v="62"/>
  </r>
  <r>
    <n v="3310"/>
    <s v="Samantha Lopes"/>
    <x v="2"/>
    <d v="2024-05-15T00:00:00"/>
    <x v="1"/>
    <n v="10"/>
    <x v="1"/>
    <s v="No"/>
    <s v="-"/>
    <s v="Yes"/>
    <n v="20"/>
    <n v="15"/>
    <n v="15"/>
  </r>
  <r>
    <n v="3311"/>
    <s v="Tiago Martins"/>
    <x v="1"/>
    <d v="2024-05-16T00:00:00"/>
    <x v="0"/>
    <n v="5"/>
    <x v="0"/>
    <s v="No"/>
    <s v="-"/>
    <s v="No"/>
    <n v="0"/>
    <n v="1"/>
    <n v="4"/>
  </r>
  <r>
    <n v="3312"/>
    <s v="Ulysses Guimarães"/>
    <x v="0"/>
    <d v="2024-05-17T00:00:00"/>
    <x v="1"/>
    <n v="15"/>
    <x v="2"/>
    <s v="Yes"/>
    <n v="30"/>
    <s v="Yes"/>
    <n v="20"/>
    <n v="7"/>
    <n v="58"/>
  </r>
  <r>
    <n v="3313"/>
    <s v="Vanessa Silva"/>
    <x v="2"/>
    <d v="2024-05-18T00:00:00"/>
    <x v="0"/>
    <n v="10"/>
    <x v="0"/>
    <s v="No"/>
    <s v="-"/>
    <s v="Yes"/>
    <n v="20"/>
    <n v="10"/>
    <n v="20"/>
  </r>
  <r>
    <n v="3314"/>
    <s v="William Carneiro"/>
    <x v="1"/>
    <d v="2024-05-19T00:00:00"/>
    <x v="1"/>
    <n v="5"/>
    <x v="1"/>
    <s v="No"/>
    <s v="-"/>
    <s v="No"/>
    <n v="0"/>
    <n v="0"/>
    <n v="5"/>
  </r>
  <r>
    <n v="3315"/>
    <s v="Ximena Rocha"/>
    <x v="0"/>
    <d v="2024-05-20T00:00:00"/>
    <x v="0"/>
    <n v="15"/>
    <x v="0"/>
    <s v="Yes"/>
    <n v="30"/>
    <s v="Yes"/>
    <n v="20"/>
    <n v="20"/>
    <n v="45"/>
  </r>
  <r>
    <n v="3316"/>
    <s v="Yasmin Figueiredo"/>
    <x v="2"/>
    <d v="2024-05-21T00:00:00"/>
    <x v="1"/>
    <n v="10"/>
    <x v="2"/>
    <s v="No"/>
    <s v="-"/>
    <s v="Yes"/>
    <n v="20"/>
    <n v="15"/>
    <n v="15"/>
  </r>
  <r>
    <n v="3317"/>
    <s v="Zara Cunha"/>
    <x v="1"/>
    <d v="2024-05-22T00:00:00"/>
    <x v="0"/>
    <n v="5"/>
    <x v="0"/>
    <s v="No"/>
    <s v="-"/>
    <s v="No"/>
    <n v="0"/>
    <n v="1"/>
    <n v="4"/>
  </r>
  <r>
    <n v="3318"/>
    <s v="Alan Teixeira"/>
    <x v="0"/>
    <d v="2024-05-23T00:00:00"/>
    <x v="1"/>
    <n v="15"/>
    <x v="1"/>
    <s v="Yes"/>
    <n v="30"/>
    <s v="Yes"/>
    <n v="20"/>
    <n v="3"/>
    <n v="62"/>
  </r>
  <r>
    <n v="3319"/>
    <s v="Bárbara Oliveira"/>
    <x v="2"/>
    <d v="2024-05-24T00:00:00"/>
    <x v="0"/>
    <n v="10"/>
    <x v="0"/>
    <s v="No"/>
    <s v="-"/>
    <s v="Yes"/>
    <n v="20"/>
    <n v="10"/>
    <n v="20"/>
  </r>
  <r>
    <n v="3320"/>
    <s v="Carlos Junqueira"/>
    <x v="1"/>
    <d v="2024-05-25T00:00:00"/>
    <x v="1"/>
    <n v="5"/>
    <x v="2"/>
    <s v="No"/>
    <s v="-"/>
    <s v="No"/>
    <n v="0"/>
    <n v="0"/>
    <n v="5"/>
  </r>
  <r>
    <n v="3321"/>
    <s v="Daniela Moura"/>
    <x v="0"/>
    <d v="2024-05-26T00:00:00"/>
    <x v="0"/>
    <n v="15"/>
    <x v="0"/>
    <s v="Yes"/>
    <n v="30"/>
    <s v="Yes"/>
    <n v="20"/>
    <n v="5"/>
    <n v="60"/>
  </r>
  <r>
    <n v="3322"/>
    <s v="Eduardo Lima"/>
    <x v="2"/>
    <d v="2024-05-27T00:00:00"/>
    <x v="1"/>
    <n v="10"/>
    <x v="1"/>
    <s v="No"/>
    <s v="-"/>
    <s v="Yes"/>
    <n v="20"/>
    <n v="15"/>
    <n v="15"/>
  </r>
  <r>
    <n v="3323"/>
    <s v="Fabiana Araújo"/>
    <x v="1"/>
    <d v="2024-05-28T00:00:00"/>
    <x v="0"/>
    <n v="5"/>
    <x v="0"/>
    <s v="No"/>
    <s v="-"/>
    <s v="No"/>
    <n v="0"/>
    <n v="1"/>
    <n v="4"/>
  </r>
  <r>
    <n v="3324"/>
    <s v="Geraldo Ribeiro"/>
    <x v="0"/>
    <d v="2024-05-29T00:00:00"/>
    <x v="1"/>
    <n v="15"/>
    <x v="2"/>
    <s v="Yes"/>
    <n v="30"/>
    <s v="Yes"/>
    <n v="20"/>
    <n v="20"/>
    <n v="45"/>
  </r>
  <r>
    <n v="3325"/>
    <s v="Héctor Vargas"/>
    <x v="2"/>
    <d v="2024-05-30T00:00:00"/>
    <x v="0"/>
    <n v="10"/>
    <x v="2"/>
    <s v="No"/>
    <s v="-"/>
    <s v="Yes"/>
    <n v="20"/>
    <n v="15"/>
    <n v="15"/>
  </r>
  <r>
    <n v="3326"/>
    <s v="Isabela Fonseca"/>
    <x v="1"/>
    <d v="2024-05-31T00:00:00"/>
    <x v="1"/>
    <n v="5"/>
    <x v="1"/>
    <s v="No"/>
    <s v="-"/>
    <s v="No"/>
    <n v="0"/>
    <n v="0"/>
    <n v="5"/>
  </r>
  <r>
    <n v="3327"/>
    <s v="João Pedro Almeida"/>
    <x v="0"/>
    <d v="2024-06-01T00:00:00"/>
    <x v="0"/>
    <n v="15"/>
    <x v="0"/>
    <s v="Yes"/>
    <n v="30"/>
    <s v="Yes"/>
    <n v="20"/>
    <n v="7"/>
    <n v="58"/>
  </r>
  <r>
    <n v="3328"/>
    <s v="Klara Costa"/>
    <x v="2"/>
    <d v="2024-06-02T00:00:00"/>
    <x v="1"/>
    <n v="10"/>
    <x v="1"/>
    <s v="No"/>
    <s v="-"/>
    <s v="Yes"/>
    <n v="20"/>
    <n v="10"/>
    <n v="20"/>
  </r>
  <r>
    <n v="3329"/>
    <s v="Luciana Mendes"/>
    <x v="1"/>
    <d v="2024-06-03T00:00:00"/>
    <x v="0"/>
    <n v="5"/>
    <x v="2"/>
    <s v="No"/>
    <s v="-"/>
    <s v="No"/>
    <n v="0"/>
    <n v="1"/>
    <n v="4"/>
  </r>
  <r>
    <n v="3330"/>
    <s v="Marcelo Gouveia"/>
    <x v="0"/>
    <d v="2024-06-04T00:00:00"/>
    <x v="1"/>
    <n v="15"/>
    <x v="0"/>
    <s v="Yes"/>
    <n v="30"/>
    <s v="Yes"/>
    <n v="20"/>
    <n v="15"/>
    <n v="50"/>
  </r>
  <r>
    <n v="3331"/>
    <s v="Nívea Borges"/>
    <x v="2"/>
    <d v="2024-06-05T00:00:00"/>
    <x v="0"/>
    <n v="10"/>
    <x v="0"/>
    <s v="No"/>
    <s v="-"/>
    <s v="Yes"/>
    <n v="20"/>
    <n v="5"/>
    <n v="25"/>
  </r>
  <r>
    <n v="3332"/>
    <s v="Oscar Nogueira"/>
    <x v="1"/>
    <d v="2024-06-06T00:00:00"/>
    <x v="1"/>
    <n v="5"/>
    <x v="1"/>
    <s v="No"/>
    <s v="-"/>
    <s v="No"/>
    <n v="0"/>
    <n v="0"/>
    <n v="5"/>
  </r>
  <r>
    <n v="3333"/>
    <s v="Patrícia Alves"/>
    <x v="0"/>
    <d v="2024-06-07T00:00:00"/>
    <x v="0"/>
    <n v="15"/>
    <x v="2"/>
    <s v="Yes"/>
    <n v="30"/>
    <s v="Yes"/>
    <n v="20"/>
    <n v="20"/>
    <n v="45"/>
  </r>
  <r>
    <n v="3334"/>
    <s v="Rafaela Silva"/>
    <x v="2"/>
    <d v="2024-06-08T00:00:00"/>
    <x v="1"/>
    <n v="10"/>
    <x v="2"/>
    <s v="No"/>
    <s v="-"/>
    <s v="Yes"/>
    <n v="20"/>
    <n v="12"/>
    <n v="18"/>
  </r>
  <r>
    <n v="3335"/>
    <s v="Samantha Moraes"/>
    <x v="1"/>
    <d v="2024-06-09T00:00:00"/>
    <x v="0"/>
    <n v="5"/>
    <x v="0"/>
    <s v="No"/>
    <s v="-"/>
    <s v="No"/>
    <n v="0"/>
    <n v="2"/>
    <n v="3"/>
  </r>
  <r>
    <n v="3336"/>
    <s v="Tatiana Rocha"/>
    <x v="1"/>
    <d v="2024-06-10T00:00:00"/>
    <x v="0"/>
    <n v="5"/>
    <x v="0"/>
    <s v="No"/>
    <s v="-"/>
    <s v="No"/>
    <n v="0"/>
    <n v="0"/>
    <n v="5"/>
  </r>
  <r>
    <n v="3337"/>
    <s v="Ulisses Tavares"/>
    <x v="0"/>
    <d v="2024-06-11T00:00:00"/>
    <x v="1"/>
    <n v="15"/>
    <x v="2"/>
    <s v="Yes"/>
    <n v="30"/>
    <s v="Yes"/>
    <n v="20"/>
    <n v="7"/>
    <n v="58"/>
  </r>
  <r>
    <n v="3338"/>
    <s v="Víctor Lemos"/>
    <x v="2"/>
    <d v="2024-06-12T00:00:00"/>
    <x v="0"/>
    <n v="10"/>
    <x v="1"/>
    <s v="No"/>
    <s v="-"/>
    <s v="Yes"/>
    <n v="20"/>
    <n v="10"/>
    <n v="20"/>
  </r>
  <r>
    <n v="3339"/>
    <s v="Wilma Barros"/>
    <x v="1"/>
    <d v="2024-06-13T00:00:00"/>
    <x v="1"/>
    <n v="5"/>
    <x v="2"/>
    <s v="No"/>
    <s v="-"/>
    <s v="No"/>
    <n v="0"/>
    <n v="1"/>
    <n v="4"/>
  </r>
  <r>
    <n v="3340"/>
    <s v="Xavier Nascimento"/>
    <x v="0"/>
    <d v="2024-06-14T00:00:00"/>
    <x v="0"/>
    <n v="15"/>
    <x v="0"/>
    <s v="Yes"/>
    <n v="30"/>
    <s v="Yes"/>
    <n v="20"/>
    <n v="15"/>
    <n v="50"/>
  </r>
  <r>
    <n v="3341"/>
    <s v="Yago Pereira"/>
    <x v="2"/>
    <d v="2024-06-15T00:00:00"/>
    <x v="1"/>
    <n v="10"/>
    <x v="0"/>
    <s v="No"/>
    <s v="-"/>
    <s v="Yes"/>
    <n v="20"/>
    <n v="5"/>
    <n v="25"/>
  </r>
  <r>
    <n v="3342"/>
    <s v="Zilda Ferreira"/>
    <x v="1"/>
    <d v="2024-06-16T00:00:00"/>
    <x v="0"/>
    <n v="5"/>
    <x v="1"/>
    <s v="No"/>
    <s v="-"/>
    <s v="No"/>
    <n v="0"/>
    <n v="0"/>
    <n v="5"/>
  </r>
  <r>
    <n v="3343"/>
    <s v="Amanda Lopes"/>
    <x v="0"/>
    <d v="2024-06-17T00:00:00"/>
    <x v="1"/>
    <n v="15"/>
    <x v="2"/>
    <s v="Yes"/>
    <n v="30"/>
    <s v="Yes"/>
    <n v="20"/>
    <n v="20"/>
    <n v="45"/>
  </r>
  <r>
    <n v="3344"/>
    <s v="Bruno Miranda"/>
    <x v="2"/>
    <d v="2024-06-18T00:00:00"/>
    <x v="0"/>
    <n v="10"/>
    <x v="2"/>
    <s v="No"/>
    <s v="-"/>
    <s v="Yes"/>
    <n v="20"/>
    <n v="12"/>
    <n v="18"/>
  </r>
  <r>
    <n v="3345"/>
    <s v="Célia Torres"/>
    <x v="1"/>
    <d v="2024-06-19T00:00:00"/>
    <x v="1"/>
    <n v="5"/>
    <x v="0"/>
    <s v="No"/>
    <s v="-"/>
    <s v="No"/>
    <n v="0"/>
    <n v="2"/>
    <n v="3"/>
  </r>
  <r>
    <n v="3346"/>
    <s v="Diogo Souza"/>
    <x v="0"/>
    <d v="2024-06-20T00:00:00"/>
    <x v="0"/>
    <n v="15"/>
    <x v="1"/>
    <s v="Yes"/>
    <n v="30"/>
    <s v="Yes"/>
    <n v="20"/>
    <n v="5"/>
    <n v="60"/>
  </r>
  <r>
    <n v="3347"/>
    <s v="Elisa Castro"/>
    <x v="2"/>
    <d v="2024-06-21T00:00:00"/>
    <x v="1"/>
    <n v="10"/>
    <x v="0"/>
    <s v="No"/>
    <s v="-"/>
    <s v="Yes"/>
    <n v="20"/>
    <n v="10"/>
    <n v="20"/>
  </r>
  <r>
    <n v="3348"/>
    <s v="Fátima Lima"/>
    <x v="1"/>
    <d v="2024-06-22T00:00:00"/>
    <x v="0"/>
    <n v="5"/>
    <x v="2"/>
    <s v="No"/>
    <s v="-"/>
    <s v="No"/>
    <n v="0"/>
    <n v="0"/>
    <n v="5"/>
  </r>
  <r>
    <n v="3349"/>
    <s v="Geraldo Ribeiro"/>
    <x v="0"/>
    <d v="2024-06-23T00:00:00"/>
    <x v="1"/>
    <n v="15"/>
    <x v="0"/>
    <s v="Yes"/>
    <n v="30"/>
    <s v="Yes"/>
    <n v="20"/>
    <n v="3"/>
    <n v="62"/>
  </r>
  <r>
    <n v="3350"/>
    <s v="Hélio Martins"/>
    <x v="2"/>
    <d v="2024-06-24T00:00:00"/>
    <x v="0"/>
    <n v="10"/>
    <x v="1"/>
    <s v="No"/>
    <s v="-"/>
    <s v="Yes"/>
    <n v="20"/>
    <n v="15"/>
    <n v="15"/>
  </r>
  <r>
    <n v="3351"/>
    <s v="Íris Santos"/>
    <x v="1"/>
    <d v="2024-06-25T00:00:00"/>
    <x v="1"/>
    <n v="5"/>
    <x v="0"/>
    <s v="No"/>
    <s v="-"/>
    <s v="No"/>
    <n v="0"/>
    <n v="1"/>
    <n v="4"/>
  </r>
  <r>
    <n v="3352"/>
    <s v="João Marcelo"/>
    <x v="0"/>
    <d v="2024-06-26T00:00:00"/>
    <x v="0"/>
    <n v="15"/>
    <x v="2"/>
    <s v="Yes"/>
    <n v="30"/>
    <s v="Yes"/>
    <n v="20"/>
    <n v="7"/>
    <n v="58"/>
  </r>
  <r>
    <n v="3353"/>
    <s v="Larissa Gomes"/>
    <x v="2"/>
    <d v="2024-06-27T00:00:00"/>
    <x v="1"/>
    <n v="10"/>
    <x v="0"/>
    <s v="No"/>
    <s v="-"/>
    <s v="Yes"/>
    <n v="20"/>
    <n v="10"/>
    <n v="20"/>
  </r>
  <r>
    <n v="3354"/>
    <s v="Márcio Silva"/>
    <x v="1"/>
    <d v="2024-06-28T00:00:00"/>
    <x v="0"/>
    <n v="5"/>
    <x v="1"/>
    <s v="No"/>
    <s v="-"/>
    <s v="No"/>
    <n v="0"/>
    <n v="0"/>
    <n v="5"/>
  </r>
  <r>
    <n v="3355"/>
    <s v="Nadia Costa"/>
    <x v="0"/>
    <d v="2024-06-29T00:00:00"/>
    <x v="1"/>
    <n v="15"/>
    <x v="0"/>
    <s v="Yes"/>
    <n v="30"/>
    <s v="Yes"/>
    <n v="20"/>
    <n v="20"/>
    <n v="45"/>
  </r>
  <r>
    <n v="3356"/>
    <s v="Oscar Almeida"/>
    <x v="2"/>
    <d v="2024-06-30T00:00:00"/>
    <x v="0"/>
    <n v="10"/>
    <x v="2"/>
    <s v="No"/>
    <s v="-"/>
    <s v="Yes"/>
    <n v="20"/>
    <n v="15"/>
    <n v="15"/>
  </r>
  <r>
    <n v="3357"/>
    <s v="Patricia Soares"/>
    <x v="1"/>
    <d v="2024-07-01T00:00:00"/>
    <x v="1"/>
    <n v="5"/>
    <x v="0"/>
    <s v="No"/>
    <s v="-"/>
    <s v="No"/>
    <n v="0"/>
    <n v="1"/>
    <n v="4"/>
  </r>
  <r>
    <n v="3358"/>
    <s v="Quênia Barros"/>
    <x v="0"/>
    <d v="2024-07-02T00:00:00"/>
    <x v="0"/>
    <n v="15"/>
    <x v="1"/>
    <s v="Yes"/>
    <n v="30"/>
    <s v="Yes"/>
    <n v="20"/>
    <n v="3"/>
    <n v="62"/>
  </r>
  <r>
    <n v="3359"/>
    <s v="Rafael Torres"/>
    <x v="2"/>
    <d v="2024-07-03T00:00:00"/>
    <x v="1"/>
    <n v="10"/>
    <x v="0"/>
    <s v="No"/>
    <s v="-"/>
    <s v="Yes"/>
    <n v="20"/>
    <n v="10"/>
    <n v="20"/>
  </r>
  <r>
    <n v="3360"/>
    <s v="Silvia Nascimento"/>
    <x v="1"/>
    <d v="2024-07-04T00:00:00"/>
    <x v="0"/>
    <n v="5"/>
    <x v="2"/>
    <s v="No"/>
    <s v="-"/>
    <s v="No"/>
    <n v="0"/>
    <n v="0"/>
    <n v="5"/>
  </r>
  <r>
    <n v="3361"/>
    <s v="Tiago Mendes"/>
    <x v="0"/>
    <d v="2024-07-05T00:00:00"/>
    <x v="1"/>
    <n v="15"/>
    <x v="0"/>
    <s v="Yes"/>
    <n v="30"/>
    <s v="Yes"/>
    <n v="20"/>
    <n v="15"/>
    <n v="50"/>
  </r>
  <r>
    <n v="3362"/>
    <s v="Ursula Silva"/>
    <x v="2"/>
    <d v="2024-07-06T00:00:00"/>
    <x v="0"/>
    <n v="10"/>
    <x v="1"/>
    <s v="No"/>
    <s v="-"/>
    <s v="Yes"/>
    <n v="20"/>
    <n v="15"/>
    <n v="15"/>
  </r>
  <r>
    <n v="3363"/>
    <s v="Vanessa Moraes"/>
    <x v="1"/>
    <d v="2024-07-07T00:00:00"/>
    <x v="1"/>
    <n v="5"/>
    <x v="0"/>
    <s v="No"/>
    <s v="-"/>
    <s v="No"/>
    <n v="0"/>
    <n v="1"/>
    <n v="4"/>
  </r>
  <r>
    <n v="3364"/>
    <s v="Waldir Junior"/>
    <x v="0"/>
    <d v="2024-07-08T00:00:00"/>
    <x v="0"/>
    <n v="15"/>
    <x v="2"/>
    <s v="Yes"/>
    <n v="30"/>
    <s v="Yes"/>
    <n v="20"/>
    <n v="7"/>
    <n v="58"/>
  </r>
  <r>
    <n v="3365"/>
    <s v="Xavier Lopes"/>
    <x v="2"/>
    <d v="2024-07-09T00:00:00"/>
    <x v="1"/>
    <n v="10"/>
    <x v="0"/>
    <s v="No"/>
    <s v="-"/>
    <s v="Yes"/>
    <n v="20"/>
    <n v="10"/>
    <n v="20"/>
  </r>
  <r>
    <n v="3366"/>
    <s v="Yolanda Freitas"/>
    <x v="1"/>
    <d v="2024-07-10T00:00:00"/>
    <x v="0"/>
    <n v="5"/>
    <x v="0"/>
    <s v="No"/>
    <s v="-"/>
    <s v="No"/>
    <n v="0"/>
    <n v="0"/>
    <n v="5"/>
  </r>
  <r>
    <n v="3367"/>
    <s v="Zacarias Nunes"/>
    <x v="0"/>
    <d v="2024-07-11T00:00:00"/>
    <x v="1"/>
    <n v="15"/>
    <x v="2"/>
    <s v="Yes"/>
    <n v="30"/>
    <s v="Yes"/>
    <n v="20"/>
    <n v="7"/>
    <n v="58"/>
  </r>
  <r>
    <n v="3368"/>
    <s v="Ana Clara Barreto"/>
    <x v="2"/>
    <d v="2024-07-12T00:00:00"/>
    <x v="0"/>
    <n v="10"/>
    <x v="1"/>
    <s v="No"/>
    <s v="-"/>
    <s v="Yes"/>
    <n v="20"/>
    <n v="10"/>
    <n v="20"/>
  </r>
  <r>
    <n v="3369"/>
    <s v="Bruno Henrique"/>
    <x v="1"/>
    <d v="2024-07-13T00:00:00"/>
    <x v="1"/>
    <n v="5"/>
    <x v="2"/>
    <s v="No"/>
    <s v="-"/>
    <s v="No"/>
    <n v="0"/>
    <n v="1"/>
    <n v="4"/>
  </r>
  <r>
    <n v="3370"/>
    <s v="Carlos Eduardo"/>
    <x v="0"/>
    <d v="2024-07-14T00:00:00"/>
    <x v="0"/>
    <n v="15"/>
    <x v="0"/>
    <s v="Yes"/>
    <n v="30"/>
    <s v="Yes"/>
    <n v="20"/>
    <n v="15"/>
    <n v="50"/>
  </r>
  <r>
    <n v="3371"/>
    <s v="Débora Lima"/>
    <x v="2"/>
    <d v="2024-07-15T00:00:00"/>
    <x v="1"/>
    <n v="10"/>
    <x v="0"/>
    <s v="No"/>
    <s v="-"/>
    <s v="Yes"/>
    <n v="20"/>
    <n v="5"/>
    <n v="25"/>
  </r>
  <r>
    <n v="3372"/>
    <s v="Elisa Neves"/>
    <x v="1"/>
    <d v="2024-07-16T00:00:00"/>
    <x v="0"/>
    <n v="5"/>
    <x v="1"/>
    <s v="No"/>
    <s v="-"/>
    <s v="No"/>
    <n v="0"/>
    <n v="0"/>
    <n v="5"/>
  </r>
  <r>
    <n v="3373"/>
    <s v="Fabiano Gomes"/>
    <x v="0"/>
    <d v="2024-07-17T00:00:00"/>
    <x v="1"/>
    <n v="15"/>
    <x v="2"/>
    <s v="Yes"/>
    <n v="30"/>
    <s v="Yes"/>
    <n v="20"/>
    <n v="20"/>
    <n v="45"/>
  </r>
  <r>
    <n v="3374"/>
    <s v="Gisele Oliveira"/>
    <x v="2"/>
    <d v="2024-07-18T00:00:00"/>
    <x v="0"/>
    <n v="10"/>
    <x v="2"/>
    <s v="No"/>
    <s v="-"/>
    <s v="Yes"/>
    <n v="20"/>
    <n v="12"/>
    <n v="18"/>
  </r>
  <r>
    <n v="3375"/>
    <s v="Héctor Silva"/>
    <x v="1"/>
    <d v="2024-07-19T00:00:00"/>
    <x v="1"/>
    <n v="5"/>
    <x v="0"/>
    <s v="No"/>
    <s v="-"/>
    <s v="No"/>
    <n v="0"/>
    <n v="2"/>
    <n v="3"/>
  </r>
  <r>
    <n v="3376"/>
    <s v="Igor Martins"/>
    <x v="0"/>
    <d v="2024-07-20T00:00:00"/>
    <x v="0"/>
    <n v="15"/>
    <x v="1"/>
    <s v="Yes"/>
    <n v="30"/>
    <s v="Yes"/>
    <n v="20"/>
    <n v="5"/>
    <n v="60"/>
  </r>
  <r>
    <n v="3377"/>
    <s v="Joana Figueiredo"/>
    <x v="2"/>
    <d v="2024-07-21T00:00:00"/>
    <x v="1"/>
    <n v="10"/>
    <x v="0"/>
    <s v="No"/>
    <s v="-"/>
    <s v="Yes"/>
    <n v="20"/>
    <n v="10"/>
    <n v="20"/>
  </r>
  <r>
    <n v="3378"/>
    <s v="Kleber Machado"/>
    <x v="1"/>
    <d v="2024-07-22T00:00:00"/>
    <x v="0"/>
    <n v="5"/>
    <x v="2"/>
    <s v="No"/>
    <s v="-"/>
    <s v="No"/>
    <n v="0"/>
    <n v="0"/>
    <n v="5"/>
  </r>
  <r>
    <n v="3379"/>
    <s v="Luciana Santos"/>
    <x v="0"/>
    <d v="2024-07-23T00:00:00"/>
    <x v="1"/>
    <n v="15"/>
    <x v="0"/>
    <s v="Yes"/>
    <n v="30"/>
    <s v="Yes"/>
    <n v="20"/>
    <n v="3"/>
    <n v="62"/>
  </r>
  <r>
    <n v="3380"/>
    <s v="Marcos Teixeira"/>
    <x v="2"/>
    <d v="2024-07-24T00:00:00"/>
    <x v="0"/>
    <n v="10"/>
    <x v="1"/>
    <s v="No"/>
    <s v="-"/>
    <s v="Yes"/>
    <n v="20"/>
    <n v="15"/>
    <n v="15"/>
  </r>
  <r>
    <n v="3381"/>
    <s v="Natalia Costa"/>
    <x v="1"/>
    <d v="2024-07-25T00:00:00"/>
    <x v="1"/>
    <n v="5"/>
    <x v="0"/>
    <s v="No"/>
    <s v="-"/>
    <s v="No"/>
    <n v="0"/>
    <n v="1"/>
    <n v="4"/>
  </r>
  <r>
    <n v="3382"/>
    <s v="Oscar Ribeiro"/>
    <x v="0"/>
    <d v="2024-07-26T00:00:00"/>
    <x v="0"/>
    <n v="15"/>
    <x v="2"/>
    <s v="Yes"/>
    <n v="30"/>
    <s v="Yes"/>
    <n v="20"/>
    <n v="7"/>
    <n v="58"/>
  </r>
  <r>
    <n v="3383"/>
    <s v="Patricia Almeida"/>
    <x v="2"/>
    <d v="2024-07-27T00:00:00"/>
    <x v="1"/>
    <n v="10"/>
    <x v="0"/>
    <s v="No"/>
    <s v="-"/>
    <s v="Yes"/>
    <n v="20"/>
    <n v="10"/>
    <n v="20"/>
  </r>
  <r>
    <n v="3384"/>
    <s v="Quirino Junior"/>
    <x v="1"/>
    <d v="2024-07-28T00:00:00"/>
    <x v="0"/>
    <n v="5"/>
    <x v="1"/>
    <s v="No"/>
    <s v="-"/>
    <s v="No"/>
    <n v="0"/>
    <n v="0"/>
    <n v="5"/>
  </r>
  <r>
    <n v="3385"/>
    <s v="Renata Machado"/>
    <x v="0"/>
    <d v="2024-07-29T00:00:00"/>
    <x v="1"/>
    <n v="15"/>
    <x v="0"/>
    <s v="Yes"/>
    <n v="30"/>
    <s v="Yes"/>
    <n v="20"/>
    <n v="20"/>
    <n v="45"/>
  </r>
  <r>
    <n v="3386"/>
    <s v="Sônia Alves"/>
    <x v="2"/>
    <d v="2024-07-30T00:00:00"/>
    <x v="0"/>
    <n v="10"/>
    <x v="2"/>
    <s v="No"/>
    <s v="-"/>
    <s v="Yes"/>
    <n v="20"/>
    <n v="15"/>
    <n v="15"/>
  </r>
  <r>
    <n v="3387"/>
    <s v="Tiago Nunes"/>
    <x v="1"/>
    <d v="2024-07-31T00:00:00"/>
    <x v="1"/>
    <n v="5"/>
    <x v="0"/>
    <s v="No"/>
    <s v="-"/>
    <s v="No"/>
    <n v="0"/>
    <n v="1"/>
    <n v="4"/>
  </r>
  <r>
    <n v="3388"/>
    <s v="Ulysses Pereira"/>
    <x v="0"/>
    <d v="2024-08-01T00:00:00"/>
    <x v="0"/>
    <n v="15"/>
    <x v="1"/>
    <s v="Yes"/>
    <n v="30"/>
    <s v="Yes"/>
    <n v="20"/>
    <n v="3"/>
    <n v="62"/>
  </r>
  <r>
    <n v="3389"/>
    <s v="Vanessa Lima"/>
    <x v="2"/>
    <d v="2024-08-02T00:00:00"/>
    <x v="1"/>
    <n v="10"/>
    <x v="0"/>
    <s v="No"/>
    <s v="-"/>
    <s v="Yes"/>
    <n v="20"/>
    <n v="10"/>
    <n v="20"/>
  </r>
  <r>
    <n v="3390"/>
    <s v="Wagner Santos"/>
    <x v="1"/>
    <d v="2024-08-03T00:00:00"/>
    <x v="0"/>
    <n v="5"/>
    <x v="2"/>
    <s v="No"/>
    <s v="-"/>
    <s v="No"/>
    <n v="0"/>
    <n v="0"/>
    <n v="5"/>
  </r>
  <r>
    <n v="3391"/>
    <s v="Xuxa Meneghel"/>
    <x v="0"/>
    <d v="2024-08-04T00:00:00"/>
    <x v="1"/>
    <n v="15"/>
    <x v="0"/>
    <s v="Yes"/>
    <n v="30"/>
    <s v="Yes"/>
    <n v="20"/>
    <n v="15"/>
    <n v="50"/>
  </r>
  <r>
    <n v="3392"/>
    <s v="Yasmin Silva"/>
    <x v="2"/>
    <d v="2024-08-05T00:00:00"/>
    <x v="0"/>
    <n v="10"/>
    <x v="1"/>
    <s v="No"/>
    <s v="-"/>
    <s v="Yes"/>
    <n v="20"/>
    <n v="15"/>
    <n v="15"/>
  </r>
  <r>
    <n v="3393"/>
    <s v="Zacarias de Souza"/>
    <x v="1"/>
    <d v="2024-08-06T00:00:00"/>
    <x v="1"/>
    <n v="5"/>
    <x v="0"/>
    <s v="No"/>
    <s v="-"/>
    <s v="No"/>
    <n v="0"/>
    <n v="1"/>
    <n v="4"/>
  </r>
  <r>
    <n v="3394"/>
    <s v="André Lima"/>
    <x v="0"/>
    <d v="2024-08-07T00:00:00"/>
    <x v="0"/>
    <n v="15"/>
    <x v="2"/>
    <s v="Yes"/>
    <n v="30"/>
    <s v="Yes"/>
    <n v="20"/>
    <n v="7"/>
    <n v="58"/>
  </r>
  <r>
    <n v="3395"/>
    <s v="Bianca Freitas"/>
    <x v="2"/>
    <d v="2024-08-08T00:00:00"/>
    <x v="1"/>
    <n v="10"/>
    <x v="0"/>
    <s v="No"/>
    <s v="-"/>
    <s v="Yes"/>
    <n v="20"/>
    <n v="10"/>
    <n v="20"/>
  </r>
  <r>
    <n v="3396"/>
    <s v="Caio Mendes"/>
    <x v="1"/>
    <d v="2024-08-09T00:00:00"/>
    <x v="0"/>
    <n v="5"/>
    <x v="1"/>
    <s v="No"/>
    <s v="-"/>
    <s v="No"/>
    <n v="0"/>
    <n v="0"/>
    <n v="5"/>
  </r>
  <r>
    <n v="3397"/>
    <s v="Daniela Moura"/>
    <x v="0"/>
    <d v="2024-08-10T00:00:00"/>
    <x v="1"/>
    <n v="15"/>
    <x v="0"/>
    <s v="Yes"/>
    <n v="30"/>
    <s v="Yes"/>
    <n v="20"/>
    <n v="20"/>
    <n v="45"/>
  </r>
  <r>
    <n v="3398"/>
    <s v="Eduardo Costa"/>
    <x v="2"/>
    <d v="2024-08-11T00:00:00"/>
    <x v="0"/>
    <n v="10"/>
    <x v="2"/>
    <s v="No"/>
    <s v="-"/>
    <s v="Yes"/>
    <n v="20"/>
    <n v="15"/>
    <n v="15"/>
  </r>
  <r>
    <n v="3399"/>
    <s v="Fernanda Gomes"/>
    <x v="1"/>
    <d v="2024-08-12T00:00:00"/>
    <x v="1"/>
    <n v="5"/>
    <x v="0"/>
    <s v="No"/>
    <s v="-"/>
    <s v="No"/>
    <n v="0"/>
    <n v="1"/>
    <n v="4"/>
  </r>
  <r>
    <n v="3400"/>
    <s v="Guilherme Souza"/>
    <x v="0"/>
    <d v="2024-08-13T00:00:00"/>
    <x v="0"/>
    <n v="15"/>
    <x v="1"/>
    <s v="Yes"/>
    <n v="30"/>
    <s v="Yes"/>
    <n v="20"/>
    <n v="5"/>
    <n v="60"/>
  </r>
  <r>
    <n v="3401"/>
    <s v="Helena Ribeiro"/>
    <x v="2"/>
    <d v="2024-08-14T00:00:00"/>
    <x v="1"/>
    <n v="10"/>
    <x v="0"/>
    <s v="No"/>
    <s v="-"/>
    <s v="Yes"/>
    <n v="20"/>
    <n v="10"/>
    <n v="20"/>
  </r>
  <r>
    <n v="3402"/>
    <s v="Igor Santos"/>
    <x v="1"/>
    <d v="2024-08-15T00:00:00"/>
    <x v="0"/>
    <n v="5"/>
    <x v="2"/>
    <s v="No"/>
    <s v="-"/>
    <s v="No"/>
    <n v="0"/>
    <n v="0"/>
    <n v="5"/>
  </r>
  <r>
    <n v="3403"/>
    <s v="João Carvalho"/>
    <x v="0"/>
    <d v="2024-08-16T00:00:00"/>
    <x v="1"/>
    <n v="15"/>
    <x v="0"/>
    <s v="Yes"/>
    <n v="30"/>
    <s v="Yes"/>
    <n v="20"/>
    <n v="3"/>
    <n v="62"/>
  </r>
  <r>
    <n v="3404"/>
    <s v="Klara Fagundes"/>
    <x v="2"/>
    <d v="2024-08-17T00:00:00"/>
    <x v="0"/>
    <n v="10"/>
    <x v="1"/>
    <s v="No"/>
    <s v="-"/>
    <s v="Yes"/>
    <n v="20"/>
    <n v="15"/>
    <n v="15"/>
  </r>
  <r>
    <n v="3405"/>
    <s v="Lúcia Mendonça"/>
    <x v="1"/>
    <d v="2024-08-18T00:00:00"/>
    <x v="1"/>
    <n v="5"/>
    <x v="0"/>
    <s v="No"/>
    <s v="-"/>
    <s v="No"/>
    <n v="0"/>
    <n v="1"/>
    <n v="4"/>
  </r>
  <r>
    <n v="3406"/>
    <s v="Marcelo Novaes"/>
    <x v="1"/>
    <d v="2024-08-19T00:00:00"/>
    <x v="0"/>
    <n v="5"/>
    <x v="0"/>
    <s v="No"/>
    <s v="-"/>
    <s v="No"/>
    <n v="0"/>
    <n v="0"/>
    <n v="5"/>
  </r>
  <r>
    <n v="3407"/>
    <s v="Nina Pacheco"/>
    <x v="0"/>
    <d v="2024-08-20T00:00:00"/>
    <x v="1"/>
    <n v="15"/>
    <x v="2"/>
    <s v="Yes"/>
    <n v="30"/>
    <s v="Yes"/>
    <n v="20"/>
    <n v="7"/>
    <n v="58"/>
  </r>
  <r>
    <n v="3408"/>
    <s v="Olívia Rios"/>
    <x v="2"/>
    <d v="2024-08-21T00:00:00"/>
    <x v="0"/>
    <n v="10"/>
    <x v="1"/>
    <s v="No"/>
    <s v="-"/>
    <s v="Yes"/>
    <n v="20"/>
    <n v="10"/>
    <n v="20"/>
  </r>
  <r>
    <n v="3409"/>
    <s v="Paulo Quintana"/>
    <x v="1"/>
    <d v="2024-08-22T00:00:00"/>
    <x v="1"/>
    <n v="5"/>
    <x v="2"/>
    <s v="No"/>
    <s v="-"/>
    <s v="No"/>
    <n v="0"/>
    <n v="1"/>
    <n v="4"/>
  </r>
  <r>
    <n v="3410"/>
    <s v="Raquel Domingos"/>
    <x v="0"/>
    <d v="2024-08-23T00:00:00"/>
    <x v="0"/>
    <n v="15"/>
    <x v="0"/>
    <s v="Yes"/>
    <n v="30"/>
    <s v="Yes"/>
    <n v="20"/>
    <n v="15"/>
    <n v="50"/>
  </r>
  <r>
    <n v="3411"/>
    <s v="Samuel Viana"/>
    <x v="2"/>
    <d v="2024-08-24T00:00:00"/>
    <x v="1"/>
    <n v="10"/>
    <x v="0"/>
    <s v="No"/>
    <s v="-"/>
    <s v="Yes"/>
    <n v="20"/>
    <n v="5"/>
    <n v="25"/>
  </r>
  <r>
    <n v="3412"/>
    <s v="Tatiane Rocha"/>
    <x v="1"/>
    <d v="2024-08-25T00:00:00"/>
    <x v="0"/>
    <n v="5"/>
    <x v="1"/>
    <s v="No"/>
    <s v="-"/>
    <s v="No"/>
    <n v="0"/>
    <n v="0"/>
    <n v="5"/>
  </r>
  <r>
    <n v="3413"/>
    <s v="Ulysses Farias"/>
    <x v="0"/>
    <d v="2024-08-26T00:00:00"/>
    <x v="1"/>
    <n v="15"/>
    <x v="2"/>
    <s v="Yes"/>
    <n v="30"/>
    <s v="Yes"/>
    <n v="20"/>
    <n v="20"/>
    <n v="45"/>
  </r>
  <r>
    <n v="3414"/>
    <s v="Vanessa Moreira"/>
    <x v="2"/>
    <d v="2024-08-27T00:00:00"/>
    <x v="0"/>
    <n v="10"/>
    <x v="2"/>
    <s v="No"/>
    <s v="-"/>
    <s v="Yes"/>
    <n v="20"/>
    <n v="12"/>
    <n v="18"/>
  </r>
  <r>
    <n v="3415"/>
    <s v="William Carvalho"/>
    <x v="1"/>
    <d v="2024-08-28T00:00:00"/>
    <x v="1"/>
    <n v="5"/>
    <x v="0"/>
    <s v="No"/>
    <s v="-"/>
    <s v="No"/>
    <n v="0"/>
    <n v="2"/>
    <n v="3"/>
  </r>
  <r>
    <n v="3416"/>
    <s v="Ximena Barros"/>
    <x v="0"/>
    <d v="2024-08-29T00:00:00"/>
    <x v="0"/>
    <n v="15"/>
    <x v="1"/>
    <s v="Yes"/>
    <n v="30"/>
    <s v="Yes"/>
    <n v="20"/>
    <n v="5"/>
    <n v="60"/>
  </r>
  <r>
    <n v="3417"/>
    <s v="Yara Machado"/>
    <x v="2"/>
    <d v="2024-08-30T00:00:00"/>
    <x v="1"/>
    <n v="10"/>
    <x v="0"/>
    <s v="No"/>
    <s v="-"/>
    <s v="Yes"/>
    <n v="20"/>
    <n v="10"/>
    <n v="20"/>
  </r>
  <r>
    <n v="3418"/>
    <s v="Zacarias Costa"/>
    <x v="1"/>
    <d v="2024-08-31T00:00:00"/>
    <x v="0"/>
    <n v="5"/>
    <x v="2"/>
    <s v="No"/>
    <s v="-"/>
    <s v="No"/>
    <n v="0"/>
    <n v="0"/>
    <n v="5"/>
  </r>
  <r>
    <n v="3419"/>
    <s v="André Lopes"/>
    <x v="0"/>
    <d v="2024-09-01T00:00:00"/>
    <x v="1"/>
    <n v="15"/>
    <x v="0"/>
    <s v="Yes"/>
    <n v="30"/>
    <s v="Yes"/>
    <n v="20"/>
    <n v="3"/>
    <n v="62"/>
  </r>
  <r>
    <n v="3420"/>
    <s v="Beatriz Souza"/>
    <x v="2"/>
    <d v="2024-09-02T00:00:00"/>
    <x v="0"/>
    <n v="10"/>
    <x v="1"/>
    <s v="No"/>
    <s v="-"/>
    <s v="Yes"/>
    <n v="20"/>
    <n v="15"/>
    <n v="15"/>
  </r>
  <r>
    <n v="3421"/>
    <s v="Caio Pereira"/>
    <x v="1"/>
    <d v="2024-09-03T00:00:00"/>
    <x v="1"/>
    <n v="5"/>
    <x v="0"/>
    <s v="No"/>
    <s v="-"/>
    <s v="No"/>
    <n v="0"/>
    <n v="1"/>
    <n v="4"/>
  </r>
  <r>
    <n v="3422"/>
    <s v="Daniela Araújo"/>
    <x v="0"/>
    <d v="2024-09-04T00:00:00"/>
    <x v="0"/>
    <n v="15"/>
    <x v="2"/>
    <s v="Yes"/>
    <n v="30"/>
    <s v="Yes"/>
    <n v="20"/>
    <n v="7"/>
    <n v="58"/>
  </r>
  <r>
    <n v="3423"/>
    <s v="Eduardo Santos"/>
    <x v="2"/>
    <d v="2024-09-05T00:00:00"/>
    <x v="1"/>
    <n v="10"/>
    <x v="0"/>
    <s v="No"/>
    <s v="-"/>
    <s v="Yes"/>
    <n v="20"/>
    <n v="10"/>
    <n v="20"/>
  </r>
  <r>
    <n v="3424"/>
    <s v="Fernanda Lima"/>
    <x v="1"/>
    <d v="2024-09-06T00:00:00"/>
    <x v="0"/>
    <n v="5"/>
    <x v="1"/>
    <s v="No"/>
    <s v="-"/>
    <s v="No"/>
    <n v="0"/>
    <n v="0"/>
    <n v="5"/>
  </r>
  <r>
    <n v="3425"/>
    <s v="Gabriel Teixeira"/>
    <x v="0"/>
    <d v="2024-09-07T00:00:00"/>
    <x v="1"/>
    <n v="15"/>
    <x v="0"/>
    <s v="Yes"/>
    <n v="30"/>
    <s v="Yes"/>
    <n v="20"/>
    <n v="20"/>
    <n v="45"/>
  </r>
  <r>
    <n v="3426"/>
    <s v="Helena Ribeiro"/>
    <x v="2"/>
    <d v="2024-09-08T00:00:00"/>
    <x v="0"/>
    <n v="10"/>
    <x v="2"/>
    <s v="No"/>
    <s v="-"/>
    <s v="Yes"/>
    <n v="20"/>
    <n v="15"/>
    <n v="15"/>
  </r>
  <r>
    <n v="3427"/>
    <s v="Igor Mendes"/>
    <x v="1"/>
    <d v="2024-09-09T00:00:00"/>
    <x v="1"/>
    <n v="5"/>
    <x v="0"/>
    <s v="No"/>
    <s v="-"/>
    <s v="No"/>
    <n v="0"/>
    <n v="1"/>
    <n v="4"/>
  </r>
  <r>
    <n v="3428"/>
    <s v="Joana Silveira"/>
    <x v="0"/>
    <d v="2024-09-10T00:00:00"/>
    <x v="0"/>
    <n v="15"/>
    <x v="1"/>
    <s v="Yes"/>
    <n v="30"/>
    <s v="Yes"/>
    <n v="20"/>
    <n v="3"/>
    <n v="62"/>
  </r>
  <r>
    <n v="3429"/>
    <s v="Lucas Martins"/>
    <x v="2"/>
    <d v="2024-09-11T00:00:00"/>
    <x v="1"/>
    <n v="10"/>
    <x v="0"/>
    <s v="No"/>
    <s v="-"/>
    <s v="Yes"/>
    <n v="20"/>
    <n v="10"/>
    <n v="20"/>
  </r>
  <r>
    <n v="3430"/>
    <s v="Marcela Gouveia"/>
    <x v="1"/>
    <d v="2024-09-12T00:00:00"/>
    <x v="0"/>
    <n v="5"/>
    <x v="2"/>
    <s v="No"/>
    <s v="-"/>
    <s v="No"/>
    <n v="0"/>
    <n v="0"/>
    <n v="5"/>
  </r>
  <r>
    <n v="3431"/>
    <s v="Nicolas Borges"/>
    <x v="0"/>
    <d v="2024-09-13T00:00:00"/>
    <x v="1"/>
    <n v="15"/>
    <x v="0"/>
    <s v="Yes"/>
    <n v="30"/>
    <s v="Yes"/>
    <n v="20"/>
    <n v="15"/>
    <n v="50"/>
  </r>
  <r>
    <n v="3432"/>
    <s v="Olivia Freitas"/>
    <x v="2"/>
    <d v="2024-09-14T00:00:00"/>
    <x v="0"/>
    <n v="10"/>
    <x v="1"/>
    <s v="No"/>
    <s v="-"/>
    <s v="Yes"/>
    <n v="20"/>
    <n v="15"/>
    <n v="15"/>
  </r>
  <r>
    <n v="3433"/>
    <s v="Paulo Nogueira"/>
    <x v="1"/>
    <d v="2024-09-15T00:00:00"/>
    <x v="1"/>
    <n v="5"/>
    <x v="0"/>
    <s v="No"/>
    <s v="-"/>
    <s v="No"/>
    <n v="0"/>
    <n v="1"/>
    <n v="4"/>
  </r>
  <r>
    <n v="3434"/>
    <s v="Raquel Andrade"/>
    <x v="0"/>
    <d v="2024-09-16T00:00:00"/>
    <x v="0"/>
    <n v="15"/>
    <x v="2"/>
    <s v="Yes"/>
    <n v="30"/>
    <s v="Yes"/>
    <n v="20"/>
    <n v="7"/>
    <n v="58"/>
  </r>
  <r>
    <n v="3435"/>
    <s v="Sônia Carvalho"/>
    <x v="2"/>
    <d v="2024-09-17T00:00:00"/>
    <x v="1"/>
    <n v="10"/>
    <x v="0"/>
    <s v="No"/>
    <s v="-"/>
    <s v="Yes"/>
    <n v="20"/>
    <n v="10"/>
    <n v="20"/>
  </r>
  <r>
    <n v="3436"/>
    <s v="Tiago Rodrigues"/>
    <x v="1"/>
    <d v="2024-09-18T00:00:00"/>
    <x v="0"/>
    <n v="5"/>
    <x v="0"/>
    <s v="No"/>
    <s v="-"/>
    <s v="No"/>
    <n v="0"/>
    <n v="0"/>
    <n v="5"/>
  </r>
  <r>
    <n v="3437"/>
    <s v="Ursula Monteiro"/>
    <x v="0"/>
    <d v="2024-09-19T00:00:00"/>
    <x v="1"/>
    <n v="15"/>
    <x v="2"/>
    <s v="Yes"/>
    <n v="30"/>
    <s v="Yes"/>
    <n v="20"/>
    <n v="7"/>
    <n v="58"/>
  </r>
  <r>
    <n v="3438"/>
    <s v="Vanessa Pereira"/>
    <x v="2"/>
    <d v="2024-09-20T00:00:00"/>
    <x v="0"/>
    <n v="10"/>
    <x v="1"/>
    <s v="No"/>
    <s v="-"/>
    <s v="Yes"/>
    <n v="20"/>
    <n v="10"/>
    <n v="20"/>
  </r>
  <r>
    <n v="3439"/>
    <s v="Walter Silva"/>
    <x v="1"/>
    <d v="2024-09-21T00:00:00"/>
    <x v="1"/>
    <n v="5"/>
    <x v="2"/>
    <s v="No"/>
    <s v="-"/>
    <s v="No"/>
    <n v="0"/>
    <n v="1"/>
    <n v="4"/>
  </r>
  <r>
    <n v="3440"/>
    <s v="Xavier Almeida"/>
    <x v="0"/>
    <d v="2024-09-22T00:00:00"/>
    <x v="0"/>
    <n v="15"/>
    <x v="0"/>
    <s v="Yes"/>
    <n v="30"/>
    <s v="Yes"/>
    <n v="20"/>
    <n v="15"/>
    <n v="50"/>
  </r>
  <r>
    <n v="3441"/>
    <s v="Yasmine Correia"/>
    <x v="2"/>
    <d v="2024-09-23T00:00:00"/>
    <x v="1"/>
    <n v="10"/>
    <x v="0"/>
    <s v="No"/>
    <s v="-"/>
    <s v="Yes"/>
    <n v="20"/>
    <n v="5"/>
    <n v="25"/>
  </r>
  <r>
    <n v="3442"/>
    <s v="Zacarias Almeida"/>
    <x v="1"/>
    <d v="2024-09-24T00:00:00"/>
    <x v="0"/>
    <n v="5"/>
    <x v="1"/>
    <s v="No"/>
    <s v="-"/>
    <s v="No"/>
    <n v="0"/>
    <n v="0"/>
    <n v="5"/>
  </r>
  <r>
    <n v="3443"/>
    <s v="Amanda Costa"/>
    <x v="0"/>
    <d v="2024-09-25T00:00:00"/>
    <x v="1"/>
    <n v="15"/>
    <x v="2"/>
    <s v="Yes"/>
    <n v="30"/>
    <s v="Yes"/>
    <n v="20"/>
    <n v="20"/>
    <n v="45"/>
  </r>
  <r>
    <n v="3444"/>
    <s v="Bruno Ferreira"/>
    <x v="2"/>
    <d v="2024-09-26T00:00:00"/>
    <x v="0"/>
    <n v="10"/>
    <x v="2"/>
    <s v="No"/>
    <s v="-"/>
    <s v="Yes"/>
    <n v="20"/>
    <n v="12"/>
    <n v="18"/>
  </r>
  <r>
    <n v="3445"/>
    <s v="Carla Dias"/>
    <x v="1"/>
    <d v="2024-09-27T00:00:00"/>
    <x v="1"/>
    <n v="5"/>
    <x v="0"/>
    <s v="No"/>
    <s v="-"/>
    <s v="No"/>
    <n v="0"/>
    <n v="2"/>
    <n v="3"/>
  </r>
  <r>
    <n v="3446"/>
    <s v="Diogo Martins"/>
    <x v="0"/>
    <d v="2024-09-28T00:00:00"/>
    <x v="0"/>
    <n v="15"/>
    <x v="1"/>
    <s v="Yes"/>
    <n v="30"/>
    <s v="Yes"/>
    <n v="20"/>
    <n v="5"/>
    <n v="60"/>
  </r>
  <r>
    <n v="3447"/>
    <s v="Elisa Campos"/>
    <x v="2"/>
    <d v="2024-09-29T00:00:00"/>
    <x v="1"/>
    <n v="10"/>
    <x v="0"/>
    <s v="No"/>
    <s v="-"/>
    <s v="Yes"/>
    <n v="20"/>
    <n v="10"/>
    <n v="20"/>
  </r>
  <r>
    <n v="3448"/>
    <s v="Fabiana Lima"/>
    <x v="1"/>
    <d v="2024-09-30T00:00:00"/>
    <x v="0"/>
    <n v="5"/>
    <x v="2"/>
    <s v="No"/>
    <s v="-"/>
    <s v="No"/>
    <n v="0"/>
    <n v="0"/>
    <n v="5"/>
  </r>
  <r>
    <n v="3449"/>
    <s v="Gabriel Santos"/>
    <x v="0"/>
    <d v="2024-10-01T00:00:00"/>
    <x v="1"/>
    <n v="15"/>
    <x v="0"/>
    <s v="Yes"/>
    <n v="30"/>
    <s v="Yes"/>
    <n v="20"/>
    <n v="3"/>
    <n v="62"/>
  </r>
  <r>
    <n v="3450"/>
    <s v="Helena Ferreira"/>
    <x v="2"/>
    <d v="2024-10-02T00:00:00"/>
    <x v="0"/>
    <n v="10"/>
    <x v="1"/>
    <s v="No"/>
    <s v="-"/>
    <s v="Yes"/>
    <n v="20"/>
    <n v="15"/>
    <n v="15"/>
  </r>
  <r>
    <n v="3451"/>
    <s v="Ígor Nunes"/>
    <x v="1"/>
    <d v="2024-10-03T00:00:00"/>
    <x v="1"/>
    <n v="5"/>
    <x v="0"/>
    <s v="No"/>
    <s v="-"/>
    <s v="No"/>
    <n v="0"/>
    <n v="1"/>
    <n v="4"/>
  </r>
  <r>
    <n v="3452"/>
    <s v="Joana Silveira"/>
    <x v="0"/>
    <d v="2024-10-04T00:00:00"/>
    <x v="0"/>
    <n v="15"/>
    <x v="2"/>
    <s v="Yes"/>
    <n v="30"/>
    <s v="Yes"/>
    <n v="20"/>
    <n v="7"/>
    <n v="58"/>
  </r>
  <r>
    <n v="3453"/>
    <s v="Kléber Oliveira"/>
    <x v="2"/>
    <d v="2024-10-05T00:00:00"/>
    <x v="1"/>
    <n v="10"/>
    <x v="0"/>
    <s v="No"/>
    <s v="-"/>
    <s v="Yes"/>
    <n v="20"/>
    <n v="10"/>
    <n v="20"/>
  </r>
  <r>
    <n v="3454"/>
    <s v="Luciana Morais"/>
    <x v="1"/>
    <d v="2024-10-06T00:00:00"/>
    <x v="0"/>
    <n v="5"/>
    <x v="1"/>
    <s v="No"/>
    <s v="-"/>
    <s v="No"/>
    <n v="0"/>
    <n v="0"/>
    <n v="5"/>
  </r>
  <r>
    <n v="3455"/>
    <s v="Marcos Vinícius"/>
    <x v="0"/>
    <d v="2024-10-07T00:00:00"/>
    <x v="1"/>
    <n v="15"/>
    <x v="0"/>
    <s v="Yes"/>
    <n v="30"/>
    <s v="Yes"/>
    <n v="20"/>
    <n v="20"/>
    <n v="45"/>
  </r>
  <r>
    <n v="3456"/>
    <s v="Natália Barros"/>
    <x v="2"/>
    <d v="2024-10-08T00:00:00"/>
    <x v="0"/>
    <n v="10"/>
    <x v="2"/>
    <s v="No"/>
    <s v="-"/>
    <s v="Yes"/>
    <n v="20"/>
    <n v="15"/>
    <n v="15"/>
  </r>
  <r>
    <n v="3457"/>
    <s v="Oscar Sampaio"/>
    <x v="1"/>
    <d v="2024-10-09T00:00:00"/>
    <x v="1"/>
    <n v="5"/>
    <x v="0"/>
    <s v="No"/>
    <s v="-"/>
    <s v="No"/>
    <n v="0"/>
    <n v="1"/>
    <n v="4"/>
  </r>
  <r>
    <n v="3458"/>
    <s v="Patrícia Leite"/>
    <x v="0"/>
    <d v="2024-10-10T00:00:00"/>
    <x v="0"/>
    <n v="15"/>
    <x v="1"/>
    <s v="Yes"/>
    <n v="30"/>
    <s v="Yes"/>
    <n v="20"/>
    <n v="3"/>
    <n v="62"/>
  </r>
  <r>
    <n v="3459"/>
    <s v="Quênia Rocha"/>
    <x v="2"/>
    <d v="2024-10-11T00:00:00"/>
    <x v="1"/>
    <n v="10"/>
    <x v="0"/>
    <s v="No"/>
    <s v="-"/>
    <s v="Yes"/>
    <n v="20"/>
    <n v="10"/>
    <n v="20"/>
  </r>
  <r>
    <n v="3460"/>
    <s v="Rafael Torres"/>
    <x v="1"/>
    <d v="2024-10-12T00:00:00"/>
    <x v="0"/>
    <n v="5"/>
    <x v="2"/>
    <s v="No"/>
    <s v="-"/>
    <s v="No"/>
    <n v="0"/>
    <n v="0"/>
    <n v="5"/>
  </r>
  <r>
    <n v="3461"/>
    <s v="Sandra Gouveia"/>
    <x v="0"/>
    <d v="2024-10-13T00:00:00"/>
    <x v="1"/>
    <n v="15"/>
    <x v="0"/>
    <s v="Yes"/>
    <n v="30"/>
    <s v="Yes"/>
    <n v="20"/>
    <n v="15"/>
    <n v="50"/>
  </r>
  <r>
    <n v="3462"/>
    <s v="Tiago Lacerda"/>
    <x v="2"/>
    <d v="2024-10-14T00:00:00"/>
    <x v="0"/>
    <n v="10"/>
    <x v="1"/>
    <s v="No"/>
    <s v="-"/>
    <s v="Yes"/>
    <n v="20"/>
    <n v="15"/>
    <n v="15"/>
  </r>
  <r>
    <n v="3463"/>
    <s v="Ursula Fonseca"/>
    <x v="1"/>
    <d v="2024-10-15T00:00:00"/>
    <x v="1"/>
    <n v="5"/>
    <x v="0"/>
    <s v="No"/>
    <s v="-"/>
    <s v="No"/>
    <n v="0"/>
    <n v="1"/>
    <n v="4"/>
  </r>
  <r>
    <n v="3464"/>
    <s v="Vanessa Andrade"/>
    <x v="0"/>
    <d v="2024-10-16T00:00:00"/>
    <x v="0"/>
    <n v="15"/>
    <x v="2"/>
    <s v="Yes"/>
    <n v="30"/>
    <s v="Yes"/>
    <n v="20"/>
    <n v="7"/>
    <n v="58"/>
  </r>
  <r>
    <n v="3465"/>
    <s v="William Castro"/>
    <x v="2"/>
    <d v="2024-10-17T00:00:00"/>
    <x v="1"/>
    <n v="10"/>
    <x v="0"/>
    <s v="No"/>
    <s v="-"/>
    <s v="Yes"/>
    <n v="20"/>
    <n v="10"/>
    <n v="20"/>
  </r>
  <r>
    <n v="3466"/>
    <s v="Xavier Monteiro"/>
    <x v="1"/>
    <d v="2024-10-18T00:00:00"/>
    <x v="0"/>
    <n v="5"/>
    <x v="1"/>
    <s v="No"/>
    <s v="-"/>
    <s v="No"/>
    <n v="0"/>
    <n v="0"/>
    <n v="5"/>
  </r>
  <r>
    <n v="3467"/>
    <s v="Yasmin Figueira"/>
    <x v="0"/>
    <d v="2024-10-19T00:00:00"/>
    <x v="1"/>
    <n v="15"/>
    <x v="0"/>
    <s v="Yes"/>
    <n v="30"/>
    <s v="Yes"/>
    <n v="20"/>
    <n v="15"/>
    <n v="50"/>
  </r>
  <r>
    <n v="3468"/>
    <s v="Zacarias Mendonça"/>
    <x v="2"/>
    <d v="2024-10-20T00:00:00"/>
    <x v="0"/>
    <n v="10"/>
    <x v="2"/>
    <s v="No"/>
    <s v="-"/>
    <s v="Yes"/>
    <n v="20"/>
    <n v="12"/>
    <n v="18"/>
  </r>
  <r>
    <n v="3469"/>
    <s v="Amanda Menezes"/>
    <x v="1"/>
    <d v="2024-10-21T00:00:00"/>
    <x v="1"/>
    <n v="5"/>
    <x v="0"/>
    <s v="No"/>
    <s v="-"/>
    <s v="No"/>
    <n v="0"/>
    <n v="2"/>
    <n v="3"/>
  </r>
  <r>
    <n v="3470"/>
    <s v="Bruno Santos"/>
    <x v="0"/>
    <d v="2024-10-22T00:00:00"/>
    <x v="0"/>
    <n v="15"/>
    <x v="1"/>
    <s v="Yes"/>
    <n v="30"/>
    <s v="Yes"/>
    <n v="20"/>
    <n v="5"/>
    <n v="60"/>
  </r>
  <r>
    <n v="3471"/>
    <s v="Carla Ferreira"/>
    <x v="2"/>
    <d v="2024-10-23T00:00:00"/>
    <x v="1"/>
    <n v="10"/>
    <x v="0"/>
    <s v="No"/>
    <s v="-"/>
    <s v="Yes"/>
    <n v="20"/>
    <n v="10"/>
    <n v="20"/>
  </r>
  <r>
    <n v="3472"/>
    <s v="Diogo Alves"/>
    <x v="1"/>
    <d v="2024-10-24T00:00:00"/>
    <x v="0"/>
    <n v="5"/>
    <x v="2"/>
    <s v="No"/>
    <s v="-"/>
    <s v="No"/>
    <n v="0"/>
    <n v="0"/>
    <n v="5"/>
  </r>
  <r>
    <n v="3473"/>
    <s v="Elisa Neves"/>
    <x v="0"/>
    <d v="2024-10-25T00:00:00"/>
    <x v="1"/>
    <n v="15"/>
    <x v="0"/>
    <s v="Yes"/>
    <n v="30"/>
    <s v="Yes"/>
    <n v="20"/>
    <n v="3"/>
    <n v="62"/>
  </r>
  <r>
    <n v="3474"/>
    <s v="Fabiano Pires"/>
    <x v="2"/>
    <d v="2024-10-26T00:00:00"/>
    <x v="0"/>
    <n v="10"/>
    <x v="1"/>
    <s v="No"/>
    <s v="-"/>
    <s v="Yes"/>
    <n v="20"/>
    <n v="15"/>
    <n v="15"/>
  </r>
  <r>
    <n v="3475"/>
    <s v="Giovana Ribeiro"/>
    <x v="1"/>
    <d v="2024-10-27T00:00:00"/>
    <x v="1"/>
    <n v="5"/>
    <x v="0"/>
    <s v="No"/>
    <s v="-"/>
    <s v="No"/>
    <n v="0"/>
    <n v="1"/>
    <n v="4"/>
  </r>
  <r>
    <n v="3476"/>
    <s v="Hélio Costa"/>
    <x v="0"/>
    <d v="2024-10-28T00:00:00"/>
    <x v="0"/>
    <n v="15"/>
    <x v="2"/>
    <s v="Yes"/>
    <n v="30"/>
    <s v="Yes"/>
    <n v="20"/>
    <n v="7"/>
    <n v="58"/>
  </r>
  <r>
    <n v="3477"/>
    <s v="Íris Loureiro"/>
    <x v="2"/>
    <d v="2024-10-29T00:00:00"/>
    <x v="1"/>
    <n v="10"/>
    <x v="0"/>
    <s v="No"/>
    <s v="-"/>
    <s v="Yes"/>
    <n v="20"/>
    <n v="10"/>
    <n v="20"/>
  </r>
  <r>
    <n v="3478"/>
    <s v="João Pereira"/>
    <x v="1"/>
    <d v="2024-10-30T00:00:00"/>
    <x v="0"/>
    <n v="5"/>
    <x v="1"/>
    <s v="No"/>
    <s v="-"/>
    <s v="No"/>
    <n v="0"/>
    <n v="0"/>
    <n v="5"/>
  </r>
  <r>
    <n v="3479"/>
    <s v="Klara Silva"/>
    <x v="0"/>
    <d v="2024-10-31T00:00:00"/>
    <x v="1"/>
    <n v="15"/>
    <x v="0"/>
    <s v="Yes"/>
    <n v="30"/>
    <s v="Yes"/>
    <n v="20"/>
    <n v="20"/>
    <n v="45"/>
  </r>
  <r>
    <n v="3480"/>
    <s v="Luciana Barros"/>
    <x v="2"/>
    <d v="2024-11-01T00:00:00"/>
    <x v="0"/>
    <n v="10"/>
    <x v="2"/>
    <s v="No"/>
    <s v="-"/>
    <s v="Yes"/>
    <n v="20"/>
    <n v="15"/>
    <n v="15"/>
  </r>
  <r>
    <n v="3481"/>
    <s v="Marcos Gomes"/>
    <x v="1"/>
    <d v="2024-11-02T00:00:00"/>
    <x v="1"/>
    <n v="5"/>
    <x v="0"/>
    <s v="No"/>
    <s v="-"/>
    <s v="No"/>
    <n v="0"/>
    <n v="1"/>
    <n v="4"/>
  </r>
  <r>
    <n v="3482"/>
    <s v="Natália Soares"/>
    <x v="0"/>
    <d v="2024-11-03T00:00:00"/>
    <x v="0"/>
    <n v="15"/>
    <x v="1"/>
    <s v="Yes"/>
    <n v="30"/>
    <s v="Yes"/>
    <n v="20"/>
    <n v="3"/>
    <n v="62"/>
  </r>
  <r>
    <n v="3483"/>
    <s v="Oscar Machado"/>
    <x v="2"/>
    <d v="2024-11-04T00:00:00"/>
    <x v="1"/>
    <n v="10"/>
    <x v="0"/>
    <s v="No"/>
    <s v="-"/>
    <s v="Yes"/>
    <n v="20"/>
    <n v="10"/>
    <n v="20"/>
  </r>
  <r>
    <n v="3484"/>
    <s v="Patrícia Lima"/>
    <x v="1"/>
    <d v="2024-11-05T00:00:00"/>
    <x v="0"/>
    <n v="5"/>
    <x v="2"/>
    <s v="No"/>
    <s v="-"/>
    <s v="No"/>
    <n v="0"/>
    <n v="0"/>
    <n v="5"/>
  </r>
  <r>
    <n v="3485"/>
    <s v="Quirino Neto"/>
    <x v="0"/>
    <d v="2024-11-06T00:00:00"/>
    <x v="1"/>
    <n v="15"/>
    <x v="0"/>
    <s v="Yes"/>
    <n v="30"/>
    <s v="Yes"/>
    <n v="20"/>
    <n v="15"/>
    <n v="50"/>
  </r>
  <r>
    <n v="3486"/>
    <s v="Rafaela Souza"/>
    <x v="1"/>
    <d v="2024-11-07T00:00:00"/>
    <x v="0"/>
    <n v="5"/>
    <x v="0"/>
    <s v="No"/>
    <s v="-"/>
    <s v="No"/>
    <n v="0"/>
    <n v="0"/>
    <n v="5"/>
  </r>
  <r>
    <n v="3487"/>
    <s v="Sandro Almeida"/>
    <x v="0"/>
    <d v="2024-11-08T00:00:00"/>
    <x v="1"/>
    <n v="15"/>
    <x v="2"/>
    <s v="Yes"/>
    <n v="30"/>
    <s v="Yes"/>
    <n v="20"/>
    <n v="7"/>
    <n v="58"/>
  </r>
  <r>
    <n v="3488"/>
    <s v="Tânia Ribeiro"/>
    <x v="2"/>
    <d v="2024-11-09T00:00:00"/>
    <x v="0"/>
    <n v="10"/>
    <x v="1"/>
    <s v="No"/>
    <s v="-"/>
    <s v="Yes"/>
    <n v="20"/>
    <n v="10"/>
    <n v="20"/>
  </r>
  <r>
    <n v="3489"/>
    <s v="Ugo Dias"/>
    <x v="1"/>
    <d v="2024-11-10T00:00:00"/>
    <x v="1"/>
    <n v="5"/>
    <x v="2"/>
    <s v="No"/>
    <s v="-"/>
    <s v="No"/>
    <n v="0"/>
    <n v="1"/>
    <n v="4"/>
  </r>
  <r>
    <n v="3490"/>
    <s v="Valéria Lima"/>
    <x v="0"/>
    <d v="2024-11-11T00:00:00"/>
    <x v="0"/>
    <n v="15"/>
    <x v="0"/>
    <s v="Yes"/>
    <n v="30"/>
    <s v="Yes"/>
    <n v="20"/>
    <n v="15"/>
    <n v="50"/>
  </r>
  <r>
    <n v="3491"/>
    <s v="William Fernandes"/>
    <x v="2"/>
    <d v="2024-11-12T00:00:00"/>
    <x v="1"/>
    <n v="10"/>
    <x v="0"/>
    <s v="No"/>
    <s v="-"/>
    <s v="Yes"/>
    <n v="20"/>
    <n v="5"/>
    <n v="25"/>
  </r>
  <r>
    <n v="3492"/>
    <s v="Xuxa Mendes"/>
    <x v="1"/>
    <d v="2024-11-13T00:00:00"/>
    <x v="0"/>
    <n v="5"/>
    <x v="1"/>
    <s v="No"/>
    <s v="-"/>
    <s v="No"/>
    <n v="0"/>
    <n v="0"/>
    <n v="5"/>
  </r>
  <r>
    <n v="3493"/>
    <s v="Ygor Farias"/>
    <x v="0"/>
    <d v="2024-11-14T00:00:00"/>
    <x v="1"/>
    <n v="15"/>
    <x v="2"/>
    <s v="Yes"/>
    <n v="30"/>
    <s v="Yes"/>
    <n v="20"/>
    <n v="20"/>
    <n v="45"/>
  </r>
  <r>
    <n v="3494"/>
    <s v="Zilda Barros"/>
    <x v="2"/>
    <d v="2024-11-15T00:00:00"/>
    <x v="0"/>
    <n v="10"/>
    <x v="2"/>
    <s v="No"/>
    <s v="-"/>
    <s v="Yes"/>
    <n v="20"/>
    <n v="12"/>
    <n v="18"/>
  </r>
  <r>
    <n v="3495"/>
    <s v="Amanda Santos"/>
    <x v="1"/>
    <d v="2024-11-16T00:00:00"/>
    <x v="1"/>
    <n v="5"/>
    <x v="0"/>
    <s v="No"/>
    <s v="-"/>
    <s v="No"/>
    <n v="0"/>
    <n v="2"/>
    <n v="3"/>
  </r>
  <r>
    <n v="3496"/>
    <s v="Bruno Costa"/>
    <x v="0"/>
    <d v="2024-11-17T00:00:00"/>
    <x v="0"/>
    <n v="15"/>
    <x v="1"/>
    <s v="Yes"/>
    <n v="30"/>
    <s v="Yes"/>
    <n v="20"/>
    <n v="5"/>
    <n v="60"/>
  </r>
  <r>
    <n v="3497"/>
    <s v="Carla Rodrigues"/>
    <x v="2"/>
    <d v="2024-11-18T00:00:00"/>
    <x v="1"/>
    <n v="10"/>
    <x v="0"/>
    <s v="No"/>
    <s v="-"/>
    <s v="Yes"/>
    <n v="20"/>
    <n v="10"/>
    <n v="20"/>
  </r>
  <r>
    <n v="3498"/>
    <s v="Diogo Pereira"/>
    <x v="1"/>
    <d v="2024-11-19T00:00:00"/>
    <x v="0"/>
    <n v="5"/>
    <x v="2"/>
    <s v="No"/>
    <s v="-"/>
    <s v="No"/>
    <n v="0"/>
    <n v="0"/>
    <n v="5"/>
  </r>
  <r>
    <n v="3499"/>
    <s v="Elisa Correia"/>
    <x v="0"/>
    <d v="2024-11-20T00:00:00"/>
    <x v="1"/>
    <n v="15"/>
    <x v="0"/>
    <s v="Yes"/>
    <n v="30"/>
    <s v="Yes"/>
    <n v="20"/>
    <n v="3"/>
    <n v="62"/>
  </r>
  <r>
    <n v="3500"/>
    <s v="Fábio Lourenço"/>
    <x v="2"/>
    <d v="2024-11-21T00:00:00"/>
    <x v="0"/>
    <n v="10"/>
    <x v="1"/>
    <s v="No"/>
    <s v="-"/>
    <s v="Yes"/>
    <n v="20"/>
    <n v="15"/>
    <n v="15"/>
  </r>
  <r>
    <n v="3501"/>
    <s v="Gabriela Neves"/>
    <x v="1"/>
    <d v="2024-11-22T00:00:00"/>
    <x v="1"/>
    <n v="5"/>
    <x v="0"/>
    <s v="No"/>
    <s v="-"/>
    <s v="No"/>
    <n v="0"/>
    <n v="1"/>
    <n v="4"/>
  </r>
  <r>
    <n v="3502"/>
    <s v="Henrique Gonçalves"/>
    <x v="0"/>
    <d v="2024-11-23T00:00:00"/>
    <x v="0"/>
    <n v="15"/>
    <x v="2"/>
    <s v="Yes"/>
    <n v="30"/>
    <s v="Yes"/>
    <n v="20"/>
    <n v="7"/>
    <n v="58"/>
  </r>
  <r>
    <n v="3503"/>
    <s v="Íris Santos"/>
    <x v="2"/>
    <d v="2024-11-24T00:00:00"/>
    <x v="1"/>
    <n v="10"/>
    <x v="0"/>
    <s v="No"/>
    <s v="-"/>
    <s v="Yes"/>
    <n v="20"/>
    <n v="10"/>
    <n v="20"/>
  </r>
  <r>
    <n v="3504"/>
    <s v="João Marcelo Alves"/>
    <x v="1"/>
    <d v="2024-11-25T00:00:00"/>
    <x v="0"/>
    <n v="5"/>
    <x v="1"/>
    <s v="No"/>
    <s v="-"/>
    <s v="No"/>
    <n v="0"/>
    <n v="0"/>
    <n v="5"/>
  </r>
  <r>
    <n v="3505"/>
    <s v="Klara Fonseca"/>
    <x v="0"/>
    <d v="2024-11-26T00:00:00"/>
    <x v="1"/>
    <n v="15"/>
    <x v="0"/>
    <s v="Yes"/>
    <n v="30"/>
    <s v="Yes"/>
    <n v="20"/>
    <n v="20"/>
    <n v="45"/>
  </r>
  <r>
    <n v="3506"/>
    <s v="Lucas Mendonça"/>
    <x v="2"/>
    <d v="2024-11-27T00:00:00"/>
    <x v="0"/>
    <n v="10"/>
    <x v="2"/>
    <s v="No"/>
    <s v="-"/>
    <s v="Yes"/>
    <n v="20"/>
    <n v="15"/>
    <n v="15"/>
  </r>
  <r>
    <n v="3507"/>
    <s v="Marcela Torres"/>
    <x v="1"/>
    <d v="2024-11-28T00:00:00"/>
    <x v="1"/>
    <n v="5"/>
    <x v="0"/>
    <s v="No"/>
    <s v="-"/>
    <s v="No"/>
    <n v="0"/>
    <n v="1"/>
    <n v="4"/>
  </r>
  <r>
    <n v="3508"/>
    <s v="Natália Castro"/>
    <x v="0"/>
    <d v="2024-11-29T00:00:00"/>
    <x v="0"/>
    <n v="15"/>
    <x v="1"/>
    <s v="Yes"/>
    <n v="30"/>
    <s v="Yes"/>
    <n v="20"/>
    <n v="3"/>
    <n v="62"/>
  </r>
  <r>
    <n v="3509"/>
    <s v="Oscar Martins"/>
    <x v="2"/>
    <d v="2024-11-30T00:00:00"/>
    <x v="1"/>
    <n v="10"/>
    <x v="0"/>
    <s v="No"/>
    <s v="-"/>
    <s v="Yes"/>
    <n v="20"/>
    <n v="10"/>
    <n v="20"/>
  </r>
  <r>
    <n v="3510"/>
    <s v="Patrícia Oliveira"/>
    <x v="1"/>
    <d v="2024-12-01T00:00:00"/>
    <x v="0"/>
    <n v="5"/>
    <x v="2"/>
    <s v="No"/>
    <s v="-"/>
    <s v="No"/>
    <n v="0"/>
    <n v="0"/>
    <n v="5"/>
  </r>
  <r>
    <n v="3511"/>
    <s v="Quentin Nogueira"/>
    <x v="0"/>
    <d v="2024-12-02T00:00:00"/>
    <x v="1"/>
    <n v="15"/>
    <x v="0"/>
    <s v="Yes"/>
    <n v="30"/>
    <s v="Yes"/>
    <n v="20"/>
    <n v="15"/>
    <n v="50"/>
  </r>
  <r>
    <n v="3512"/>
    <s v="Raquel Silva"/>
    <x v="2"/>
    <d v="2024-12-03T00:00:00"/>
    <x v="0"/>
    <n v="10"/>
    <x v="1"/>
    <s v="No"/>
    <s v="-"/>
    <s v="Yes"/>
    <n v="20"/>
    <n v="15"/>
    <n v="15"/>
  </r>
  <r>
    <n v="3513"/>
    <s v="Sandro Gomes"/>
    <x v="1"/>
    <d v="2024-12-04T00:00:00"/>
    <x v="1"/>
    <n v="5"/>
    <x v="0"/>
    <s v="No"/>
    <s v="-"/>
    <s v="No"/>
    <n v="0"/>
    <n v="1"/>
    <n v="4"/>
  </r>
  <r>
    <n v="3514"/>
    <s v="Tânia Machado"/>
    <x v="0"/>
    <d v="2024-12-05T00:00:00"/>
    <x v="0"/>
    <n v="15"/>
    <x v="2"/>
    <s v="Yes"/>
    <n v="30"/>
    <s v="Yes"/>
    <n v="20"/>
    <n v="7"/>
    <n v="58"/>
  </r>
  <r>
    <n v="3515"/>
    <s v="Ursula Silva"/>
    <x v="2"/>
    <d v="2024-12-06T00:00:00"/>
    <x v="1"/>
    <n v="10"/>
    <x v="0"/>
    <s v="No"/>
    <s v="-"/>
    <s v="Yes"/>
    <n v="20"/>
    <n v="10"/>
    <n v="20"/>
  </r>
  <r>
    <n v="3516"/>
    <s v="Vanessa Moraes"/>
    <x v="1"/>
    <d v="2024-12-07T00:00:00"/>
    <x v="0"/>
    <n v="5"/>
    <x v="1"/>
    <s v="No"/>
    <s v="-"/>
    <s v="No"/>
    <n v="0"/>
    <n v="0"/>
    <n v="5"/>
  </r>
  <r>
    <n v="3517"/>
    <s v="William Carvalho"/>
    <x v="0"/>
    <d v="2024-12-08T00:00:00"/>
    <x v="1"/>
    <n v="15"/>
    <x v="0"/>
    <s v="Yes"/>
    <n v="30"/>
    <s v="Yes"/>
    <n v="20"/>
    <n v="20"/>
    <n v="45"/>
  </r>
  <r>
    <n v="3518"/>
    <s v="Xavier Reis"/>
    <x v="2"/>
    <d v="2024-12-09T00:00:00"/>
    <x v="0"/>
    <n v="10"/>
    <x v="2"/>
    <s v="No"/>
    <s v="-"/>
    <s v="Yes"/>
    <n v="20"/>
    <n v="12"/>
    <n v="18"/>
  </r>
  <r>
    <n v="3519"/>
    <s v="Yasmin Rocha"/>
    <x v="1"/>
    <d v="2024-12-10T00:00:00"/>
    <x v="1"/>
    <n v="5"/>
    <x v="0"/>
    <s v="No"/>
    <s v="-"/>
    <s v="No"/>
    <n v="0"/>
    <n v="2"/>
    <n v="3"/>
  </r>
  <r>
    <n v="3520"/>
    <s v="Zacarias Duarte"/>
    <x v="0"/>
    <d v="2024-12-11T00:00:00"/>
    <x v="0"/>
    <n v="15"/>
    <x v="1"/>
    <s v="Yes"/>
    <n v="30"/>
    <s v="Yes"/>
    <n v="20"/>
    <n v="5"/>
    <n v="60"/>
  </r>
  <r>
    <n v="3521"/>
    <s v="Amanda Freitas"/>
    <x v="2"/>
    <d v="2024-12-12T00:00:00"/>
    <x v="1"/>
    <n v="10"/>
    <x v="0"/>
    <s v="No"/>
    <s v="-"/>
    <s v="Yes"/>
    <n v="20"/>
    <n v="10"/>
    <n v="20"/>
  </r>
  <r>
    <n v="3522"/>
    <s v="Bruno Almeida"/>
    <x v="1"/>
    <d v="2024-12-13T00:00:00"/>
    <x v="0"/>
    <n v="5"/>
    <x v="2"/>
    <s v="No"/>
    <s v="-"/>
    <s v="No"/>
    <n v="0"/>
    <n v="0"/>
    <n v="5"/>
  </r>
  <r>
    <n v="3523"/>
    <s v="Carla Siqueira"/>
    <x v="0"/>
    <d v="2024-12-14T00:00:00"/>
    <x v="1"/>
    <n v="15"/>
    <x v="0"/>
    <s v="Yes"/>
    <n v="30"/>
    <s v="Yes"/>
    <n v="20"/>
    <n v="3"/>
    <n v="62"/>
  </r>
  <r>
    <n v="3524"/>
    <s v="Diogo Ramos"/>
    <x v="2"/>
    <d v="2024-12-15T00:00:00"/>
    <x v="0"/>
    <n v="10"/>
    <x v="1"/>
    <s v="No"/>
    <s v="-"/>
    <s v="Yes"/>
    <n v="20"/>
    <n v="15"/>
    <n v="15"/>
  </r>
  <r>
    <n v="3525"/>
    <s v="Elisa Magalhães"/>
    <x v="1"/>
    <d v="2024-12-16T00:00:00"/>
    <x v="1"/>
    <n v="5"/>
    <x v="0"/>
    <s v="No"/>
    <s v="-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11CA0C-654D-4207-ADFD-05DEDAD5B9D8}" name="tbl_annual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10:C13" firstHeaderRow="1" firstDataRow="1" firstDataCol="1" rowPageCount="1" colPageCount="1"/>
  <pivotFields count="13">
    <pivotField showAll="0"/>
    <pivotField showAll="0"/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h="1" x="1"/>
        <item h="1"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 numFmtId="44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76CC6A-72F6-48F1-B5D8-D8ED299236ED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29:C33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multipleItemSelectionAllowed="1" showAll="0">
      <items count="4">
        <item h="1" x="1"/>
        <item h="1" x="0"/>
        <item x="2"/>
        <item t="default"/>
      </items>
    </pivotField>
    <pivotField showAll="0"/>
    <pivotField showAll="0"/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B9855-DA08-403B-9B9C-2C34A5B33842}" name="tbl_easeasonpass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19:C23" firstHeaderRow="1" firstDataRow="1" firstDataCol="1" rowPageCount="1" colPageCount="1"/>
  <pivotFields count="13">
    <pivotField showAll="0"/>
    <pivotField showAll="0"/>
    <pivotField axis="axisRow" showAll="0">
      <items count="4">
        <item x="1"/>
        <item x="2"/>
        <item x="0"/>
        <item t="default"/>
      </items>
    </pivotField>
    <pivotField numFmtId="14" showAll="0"/>
    <pivotField showAll="0"/>
    <pivotField numFmtId="44" showAll="0"/>
    <pivotField axis="axisPage" multipleItemSelectionAllowed="1" showAll="0">
      <items count="4">
        <item h="1" x="1"/>
        <item h="1" x="0"/>
        <item x="2"/>
        <item t="default"/>
      </items>
    </pivotField>
    <pivotField showAll="0"/>
    <pivotField dataField="1" showAll="0"/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592DF776-E343-4598-975F-F248CF730C9E}" sourceName="Subscription Type">
  <pivotTables>
    <pivotTable tabId="3" name="tbl_annual_total"/>
    <pivotTable tabId="3" name="tbl_easeasonpass_total"/>
    <pivotTable tabId="3" name="Tabela dinâmica4"/>
  </pivotTables>
  <data>
    <tabular pivotCacheId="1244597137">
      <items count="3">
        <i x="1"/>
        <i x="0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B2EF08CB-BFB3-4290-820A-F24AFA8D811B}" cache="SegmentaçãodeDados_Subscription_Type" caption="Subscription Type" style="SlicerStyleLight6 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zoomScaleNormal="100" workbookViewId="0">
      <selection activeCell="D31" sqref="D31"/>
    </sheetView>
  </sheetViews>
  <sheetFormatPr defaultRowHeight="14.4" x14ac:dyDescent="0.3"/>
  <cols>
    <col min="9" max="9" width="3.5546875" customWidth="1"/>
  </cols>
  <sheetData>
    <row r="3" spans="2:16" ht="20.399999999999999" thickBot="1" x14ac:dyDescent="0.45">
      <c r="B3" s="1" t="s">
        <v>0</v>
      </c>
      <c r="C3" s="1"/>
      <c r="D3" s="1"/>
      <c r="E3" s="1"/>
      <c r="F3" s="1"/>
      <c r="G3" s="1"/>
      <c r="H3" s="1"/>
    </row>
    <row r="4" spans="2:16" ht="15" thickTop="1" x14ac:dyDescent="0.3"/>
    <row r="5" spans="2:16" x14ac:dyDescent="0.3">
      <c r="B5" s="3" t="s">
        <v>2</v>
      </c>
      <c r="C5" t="s">
        <v>8</v>
      </c>
      <c r="E5" s="7" t="s">
        <v>6</v>
      </c>
      <c r="F5" t="s">
        <v>7</v>
      </c>
    </row>
    <row r="6" spans="2:16" x14ac:dyDescent="0.3">
      <c r="B6" s="4" t="s">
        <v>3</v>
      </c>
      <c r="C6" t="s">
        <v>8</v>
      </c>
    </row>
    <row r="7" spans="2:16" x14ac:dyDescent="0.3">
      <c r="B7" s="5" t="s">
        <v>4</v>
      </c>
      <c r="C7" t="s">
        <v>9</v>
      </c>
    </row>
    <row r="8" spans="2:16" x14ac:dyDescent="0.3">
      <c r="B8" s="6" t="s">
        <v>5</v>
      </c>
      <c r="C8" t="s">
        <v>9</v>
      </c>
    </row>
    <row r="12" spans="2:16" ht="20.399999999999999" thickBot="1" x14ac:dyDescent="0.4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 x14ac:dyDescent="0.3">
      <c r="B13" s="2"/>
      <c r="C13" s="2"/>
      <c r="D13" s="2"/>
      <c r="E13" s="2"/>
      <c r="F13" s="2"/>
      <c r="G13" s="2"/>
      <c r="H13" s="2"/>
    </row>
    <row r="14" spans="2:16" x14ac:dyDescent="0.3">
      <c r="B14" s="2"/>
      <c r="C14" s="2"/>
      <c r="D14" s="2"/>
      <c r="E14" s="2"/>
      <c r="F14" s="2"/>
      <c r="G14" s="2"/>
      <c r="H14" s="2"/>
    </row>
    <row r="15" spans="2:16" x14ac:dyDescent="0.3">
      <c r="B15" s="2"/>
      <c r="C15" s="2"/>
      <c r="D15" s="2"/>
      <c r="E15" s="2"/>
      <c r="F15" s="2"/>
      <c r="G15" s="2"/>
      <c r="H15" s="2"/>
    </row>
    <row r="16" spans="2:16" x14ac:dyDescent="0.3">
      <c r="B16" s="2"/>
      <c r="C16" s="2"/>
      <c r="D16" s="2"/>
      <c r="E16" s="2"/>
      <c r="F16" s="2"/>
      <c r="G16" s="2"/>
      <c r="H16" s="2"/>
    </row>
    <row r="17" spans="2:8" x14ac:dyDescent="0.3">
      <c r="B17" s="2"/>
      <c r="C17" s="2"/>
      <c r="D17" s="2"/>
      <c r="E17" s="2"/>
      <c r="F17" s="2"/>
      <c r="G17" s="2"/>
      <c r="H17" s="2"/>
    </row>
    <row r="18" spans="2:8" x14ac:dyDescent="0.3">
      <c r="B18" s="2"/>
      <c r="C18" s="2"/>
      <c r="D18" s="2"/>
      <c r="E18" s="2"/>
      <c r="F18" s="2"/>
      <c r="G18" s="2"/>
      <c r="H18" s="2"/>
    </row>
    <row r="19" spans="2:8" x14ac:dyDescent="0.3">
      <c r="B19" s="2"/>
      <c r="C19" s="2"/>
      <c r="D19" s="2"/>
      <c r="E19" s="2"/>
      <c r="F19" s="2"/>
      <c r="G19" s="2"/>
      <c r="H19" s="2"/>
    </row>
    <row r="20" spans="2:8" x14ac:dyDescent="0.3">
      <c r="B20" s="2"/>
      <c r="C20" s="2"/>
      <c r="D20" s="2"/>
      <c r="E20" s="2"/>
      <c r="F20" s="2"/>
      <c r="G20" s="2"/>
      <c r="H20" s="2"/>
    </row>
    <row r="21" spans="2:8" x14ac:dyDescent="0.3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topLeftCell="A2" zoomScale="90" zoomScaleNormal="90" workbookViewId="0">
      <selection activeCell="D31" sqref="D31"/>
    </sheetView>
  </sheetViews>
  <sheetFormatPr defaultRowHeight="14.4" x14ac:dyDescent="0.3"/>
  <cols>
    <col min="1" max="1" width="17.88671875" bestFit="1" customWidth="1"/>
    <col min="2" max="2" width="18.88671875" bestFit="1" customWidth="1"/>
    <col min="3" max="3" width="9.44140625" bestFit="1" customWidth="1"/>
    <col min="4" max="4" width="14.5546875" bestFit="1" customWidth="1"/>
    <col min="5" max="5" width="18" bestFit="1" customWidth="1"/>
    <col min="6" max="6" width="14.6640625" bestFit="1" customWidth="1"/>
    <col min="7" max="7" width="22" bestFit="1" customWidth="1"/>
    <col min="8" max="8" width="20.5546875" bestFit="1" customWidth="1"/>
    <col min="9" max="9" width="20.5546875" customWidth="1"/>
    <col min="10" max="10" width="16.6640625" bestFit="1" customWidth="1"/>
    <col min="11" max="11" width="21.33203125" bestFit="1" customWidth="1"/>
    <col min="12" max="12" width="12.6640625" bestFit="1" customWidth="1"/>
    <col min="13" max="13" width="10.5546875" bestFit="1" customWidth="1"/>
  </cols>
  <sheetData>
    <row r="1" spans="1:13" ht="28.8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3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 x14ac:dyDescent="0.3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 x14ac:dyDescent="0.3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3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 x14ac:dyDescent="0.3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 x14ac:dyDescent="0.3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3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 x14ac:dyDescent="0.3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3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 x14ac:dyDescent="0.3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 x14ac:dyDescent="0.3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3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 x14ac:dyDescent="0.3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 x14ac:dyDescent="0.3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3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 x14ac:dyDescent="0.3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 x14ac:dyDescent="0.3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3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 x14ac:dyDescent="0.3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 x14ac:dyDescent="0.3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3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 x14ac:dyDescent="0.3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 x14ac:dyDescent="0.3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3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 x14ac:dyDescent="0.3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 x14ac:dyDescent="0.3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3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 x14ac:dyDescent="0.3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 x14ac:dyDescent="0.3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3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 x14ac:dyDescent="0.3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 x14ac:dyDescent="0.3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3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 x14ac:dyDescent="0.3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 x14ac:dyDescent="0.3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 x14ac:dyDescent="0.3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3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 x14ac:dyDescent="0.3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 x14ac:dyDescent="0.3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3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 x14ac:dyDescent="0.3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 x14ac:dyDescent="0.3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3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 x14ac:dyDescent="0.3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 x14ac:dyDescent="0.3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3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 x14ac:dyDescent="0.3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 x14ac:dyDescent="0.3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3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 x14ac:dyDescent="0.3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 x14ac:dyDescent="0.3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3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 x14ac:dyDescent="0.3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 x14ac:dyDescent="0.3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3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 x14ac:dyDescent="0.3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 x14ac:dyDescent="0.3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3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 x14ac:dyDescent="0.3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 x14ac:dyDescent="0.3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3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 x14ac:dyDescent="0.3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 x14ac:dyDescent="0.3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3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 x14ac:dyDescent="0.3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 x14ac:dyDescent="0.3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3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 x14ac:dyDescent="0.3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 x14ac:dyDescent="0.3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3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 x14ac:dyDescent="0.3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 x14ac:dyDescent="0.3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3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 x14ac:dyDescent="0.3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 x14ac:dyDescent="0.3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3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 x14ac:dyDescent="0.3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 x14ac:dyDescent="0.3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3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 x14ac:dyDescent="0.3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 x14ac:dyDescent="0.3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3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 x14ac:dyDescent="0.3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 x14ac:dyDescent="0.3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3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 x14ac:dyDescent="0.3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 x14ac:dyDescent="0.3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3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 x14ac:dyDescent="0.3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 x14ac:dyDescent="0.3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3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 x14ac:dyDescent="0.3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 x14ac:dyDescent="0.3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3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 x14ac:dyDescent="0.3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 x14ac:dyDescent="0.3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3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 x14ac:dyDescent="0.3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 x14ac:dyDescent="0.3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3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 x14ac:dyDescent="0.3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 x14ac:dyDescent="0.3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3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 x14ac:dyDescent="0.3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 x14ac:dyDescent="0.3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 x14ac:dyDescent="0.3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3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 x14ac:dyDescent="0.3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 x14ac:dyDescent="0.3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3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 x14ac:dyDescent="0.3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 x14ac:dyDescent="0.3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3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 x14ac:dyDescent="0.3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 x14ac:dyDescent="0.3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3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 x14ac:dyDescent="0.3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 x14ac:dyDescent="0.3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3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 x14ac:dyDescent="0.3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 x14ac:dyDescent="0.3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3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 x14ac:dyDescent="0.3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 x14ac:dyDescent="0.3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3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 x14ac:dyDescent="0.3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 x14ac:dyDescent="0.3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3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 x14ac:dyDescent="0.3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 x14ac:dyDescent="0.3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3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 x14ac:dyDescent="0.3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 x14ac:dyDescent="0.3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3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 x14ac:dyDescent="0.3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 x14ac:dyDescent="0.3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3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 x14ac:dyDescent="0.3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 x14ac:dyDescent="0.3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3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 x14ac:dyDescent="0.3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 x14ac:dyDescent="0.3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3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 x14ac:dyDescent="0.3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 x14ac:dyDescent="0.3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3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 x14ac:dyDescent="0.3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 x14ac:dyDescent="0.3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3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 x14ac:dyDescent="0.3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 x14ac:dyDescent="0.3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3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 x14ac:dyDescent="0.3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 x14ac:dyDescent="0.3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3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 x14ac:dyDescent="0.3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 x14ac:dyDescent="0.3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3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 x14ac:dyDescent="0.3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 x14ac:dyDescent="0.3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3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 x14ac:dyDescent="0.3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 x14ac:dyDescent="0.3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3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 x14ac:dyDescent="0.3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 x14ac:dyDescent="0.3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3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 x14ac:dyDescent="0.3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 x14ac:dyDescent="0.3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3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 x14ac:dyDescent="0.3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 x14ac:dyDescent="0.3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3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 x14ac:dyDescent="0.3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 x14ac:dyDescent="0.3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 x14ac:dyDescent="0.3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3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 x14ac:dyDescent="0.3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 x14ac:dyDescent="0.3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3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 x14ac:dyDescent="0.3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 x14ac:dyDescent="0.3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3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 x14ac:dyDescent="0.3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 x14ac:dyDescent="0.3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3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 x14ac:dyDescent="0.3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 x14ac:dyDescent="0.3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3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 x14ac:dyDescent="0.3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 x14ac:dyDescent="0.3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3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 x14ac:dyDescent="0.3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 x14ac:dyDescent="0.3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3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 x14ac:dyDescent="0.3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 x14ac:dyDescent="0.3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3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 x14ac:dyDescent="0.3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 x14ac:dyDescent="0.3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3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 x14ac:dyDescent="0.3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 x14ac:dyDescent="0.3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3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 x14ac:dyDescent="0.3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 x14ac:dyDescent="0.3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3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 x14ac:dyDescent="0.3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 x14ac:dyDescent="0.3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3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 x14ac:dyDescent="0.3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 x14ac:dyDescent="0.3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3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 x14ac:dyDescent="0.3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 x14ac:dyDescent="0.3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3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 x14ac:dyDescent="0.3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 x14ac:dyDescent="0.3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3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 x14ac:dyDescent="0.3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 x14ac:dyDescent="0.3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3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 x14ac:dyDescent="0.3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 x14ac:dyDescent="0.3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3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 x14ac:dyDescent="0.3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 x14ac:dyDescent="0.3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3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 x14ac:dyDescent="0.3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 x14ac:dyDescent="0.3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3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 x14ac:dyDescent="0.3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 x14ac:dyDescent="0.3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3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 x14ac:dyDescent="0.3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 x14ac:dyDescent="0.3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3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 x14ac:dyDescent="0.3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 x14ac:dyDescent="0.3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3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 x14ac:dyDescent="0.3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 x14ac:dyDescent="0.3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3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 x14ac:dyDescent="0.3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 x14ac:dyDescent="0.3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3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 x14ac:dyDescent="0.3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 x14ac:dyDescent="0.3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3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 x14ac:dyDescent="0.3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 x14ac:dyDescent="0.3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3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 x14ac:dyDescent="0.3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 x14ac:dyDescent="0.3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3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 x14ac:dyDescent="0.3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3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 x14ac:dyDescent="0.3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 x14ac:dyDescent="0.3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3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 x14ac:dyDescent="0.3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 x14ac:dyDescent="0.3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3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 x14ac:dyDescent="0.3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 x14ac:dyDescent="0.3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3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 x14ac:dyDescent="0.3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 x14ac:dyDescent="0.3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3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 x14ac:dyDescent="0.3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 x14ac:dyDescent="0.3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3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 x14ac:dyDescent="0.3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 x14ac:dyDescent="0.3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3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 x14ac:dyDescent="0.3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 x14ac:dyDescent="0.3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3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 x14ac:dyDescent="0.3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 x14ac:dyDescent="0.3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3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 x14ac:dyDescent="0.3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 x14ac:dyDescent="0.3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3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 x14ac:dyDescent="0.3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 x14ac:dyDescent="0.3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3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 x14ac:dyDescent="0.3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 x14ac:dyDescent="0.3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3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 x14ac:dyDescent="0.3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 x14ac:dyDescent="0.3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3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 x14ac:dyDescent="0.3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 x14ac:dyDescent="0.3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2:F33"/>
  <sheetViews>
    <sheetView showGridLines="0" workbookViewId="0">
      <selection activeCell="D31" sqref="D31"/>
    </sheetView>
  </sheetViews>
  <sheetFormatPr defaultRowHeight="14.4" x14ac:dyDescent="0.3"/>
  <cols>
    <col min="2" max="2" width="16.77734375" bestFit="1" customWidth="1"/>
    <col min="3" max="3" width="32.21875" bestFit="1" customWidth="1"/>
    <col min="4" max="4" width="12.44140625" customWidth="1"/>
    <col min="5" max="5" width="10.5546875" bestFit="1" customWidth="1"/>
    <col min="6" max="6" width="19.109375" bestFit="1" customWidth="1"/>
    <col min="7" max="7" width="27.6640625" bestFit="1" customWidth="1"/>
    <col min="8" max="8" width="5.44140625" customWidth="1"/>
    <col min="9" max="9" width="21.109375" bestFit="1" customWidth="1"/>
    <col min="10" max="11" width="35.109375" bestFit="1" customWidth="1"/>
    <col min="12" max="15" width="9.6640625" bestFit="1" customWidth="1"/>
    <col min="16" max="16" width="15.5546875" bestFit="1" customWidth="1"/>
    <col min="17" max="17" width="12.109375" bestFit="1" customWidth="1"/>
  </cols>
  <sheetData>
    <row r="2" spans="2:6" x14ac:dyDescent="0.3">
      <c r="B2" s="22" t="s">
        <v>313</v>
      </c>
      <c r="C2" s="22"/>
      <c r="D2" s="22"/>
      <c r="E2" s="22"/>
      <c r="F2" s="22"/>
    </row>
    <row r="5" spans="2:6" x14ac:dyDescent="0.3">
      <c r="B5" t="s">
        <v>314</v>
      </c>
    </row>
    <row r="6" spans="2:6" x14ac:dyDescent="0.3">
      <c r="B6" t="s">
        <v>315</v>
      </c>
    </row>
    <row r="8" spans="2:6" x14ac:dyDescent="0.3">
      <c r="B8" s="14" t="s">
        <v>16</v>
      </c>
      <c r="C8" t="s">
        <v>27</v>
      </c>
    </row>
    <row r="10" spans="2:6" x14ac:dyDescent="0.3">
      <c r="B10" s="14" t="s">
        <v>316</v>
      </c>
      <c r="C10" t="s">
        <v>317</v>
      </c>
    </row>
    <row r="11" spans="2:6" x14ac:dyDescent="0.3">
      <c r="B11" s="12" t="s">
        <v>23</v>
      </c>
      <c r="C11" s="13">
        <v>806</v>
      </c>
    </row>
    <row r="12" spans="2:6" x14ac:dyDescent="0.3">
      <c r="B12" s="12" t="s">
        <v>19</v>
      </c>
      <c r="C12" s="13">
        <v>1502</v>
      </c>
    </row>
    <row r="13" spans="2:6" x14ac:dyDescent="0.3">
      <c r="B13" s="12" t="s">
        <v>318</v>
      </c>
      <c r="C13" s="13">
        <v>2308</v>
      </c>
    </row>
    <row r="15" spans="2:6" x14ac:dyDescent="0.3">
      <c r="B15" s="12" t="s">
        <v>321</v>
      </c>
    </row>
    <row r="17" spans="2:5" x14ac:dyDescent="0.3">
      <c r="B17" s="14" t="s">
        <v>16</v>
      </c>
      <c r="C17" t="s">
        <v>27</v>
      </c>
    </row>
    <row r="19" spans="2:5" x14ac:dyDescent="0.3">
      <c r="B19" s="14" t="s">
        <v>316</v>
      </c>
      <c r="C19" t="s">
        <v>320</v>
      </c>
    </row>
    <row r="20" spans="2:5" x14ac:dyDescent="0.3">
      <c r="B20" s="12" t="s">
        <v>22</v>
      </c>
      <c r="C20" s="23">
        <v>0</v>
      </c>
    </row>
    <row r="21" spans="2:5" x14ac:dyDescent="0.3">
      <c r="B21" s="12" t="s">
        <v>26</v>
      </c>
      <c r="C21" s="23">
        <v>0</v>
      </c>
    </row>
    <row r="22" spans="2:5" x14ac:dyDescent="0.3">
      <c r="B22" s="12" t="s">
        <v>18</v>
      </c>
      <c r="C22" s="23">
        <v>990</v>
      </c>
    </row>
    <row r="23" spans="2:5" x14ac:dyDescent="0.3">
      <c r="B23" s="12" t="s">
        <v>318</v>
      </c>
      <c r="C23" s="23">
        <v>990</v>
      </c>
      <c r="E23" s="18">
        <f>GETPIVOTDATA("EA Play Season Pass
Price",$B$19)</f>
        <v>990</v>
      </c>
    </row>
    <row r="25" spans="2:5" x14ac:dyDescent="0.3">
      <c r="B25" s="12" t="s">
        <v>322</v>
      </c>
    </row>
    <row r="27" spans="2:5" x14ac:dyDescent="0.3">
      <c r="B27" s="14" t="s">
        <v>16</v>
      </c>
      <c r="C27" t="s">
        <v>27</v>
      </c>
    </row>
    <row r="29" spans="2:5" x14ac:dyDescent="0.3">
      <c r="B29" s="14" t="s">
        <v>316</v>
      </c>
      <c r="C29" t="s">
        <v>323</v>
      </c>
    </row>
    <row r="30" spans="2:5" x14ac:dyDescent="0.3">
      <c r="B30" s="12" t="s">
        <v>22</v>
      </c>
      <c r="C30" s="13">
        <v>0</v>
      </c>
    </row>
    <row r="31" spans="2:5" x14ac:dyDescent="0.3">
      <c r="B31" s="12" t="s">
        <v>26</v>
      </c>
      <c r="C31" s="13">
        <v>480</v>
      </c>
    </row>
    <row r="32" spans="2:5" x14ac:dyDescent="0.3">
      <c r="B32" s="12" t="s">
        <v>18</v>
      </c>
      <c r="C32" s="13">
        <v>660</v>
      </c>
    </row>
    <row r="33" spans="2:5" x14ac:dyDescent="0.3">
      <c r="B33" s="12" t="s">
        <v>318</v>
      </c>
      <c r="C33" s="13">
        <v>1140</v>
      </c>
      <c r="E33" s="18">
        <f>GETPIVOTDATA("Minecraft Season Pass Price",$B$29)</f>
        <v>1140</v>
      </c>
    </row>
  </sheetData>
  <mergeCells count="1">
    <mergeCell ref="B2:F2"/>
  </mergeCells>
  <pageMargins left="0.511811024" right="0.511811024" top="0.78740157499999996" bottom="0.78740157499999996" header="0.31496062000000002" footer="0.31496062000000002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1:Q35"/>
  <sheetViews>
    <sheetView showGridLines="0" showRowColHeaders="0" tabSelected="1" zoomScaleNormal="100" workbookViewId="0">
      <selection activeCell="U15" sqref="U15"/>
    </sheetView>
  </sheetViews>
  <sheetFormatPr defaultRowHeight="14.4" x14ac:dyDescent="0.3"/>
  <cols>
    <col min="1" max="1" width="27.44140625" style="21" customWidth="1"/>
    <col min="2" max="2" width="3.5546875" customWidth="1"/>
    <col min="12" max="12" width="6.5546875" customWidth="1"/>
  </cols>
  <sheetData>
    <row r="1" spans="1:17" x14ac:dyDescent="0.3">
      <c r="A1" s="19"/>
    </row>
    <row r="2" spans="1:17" ht="39" customHeight="1" thickBot="1" x14ac:dyDescent="0.6">
      <c r="A2" s="19"/>
      <c r="C2" s="15" t="s">
        <v>319</v>
      </c>
      <c r="D2" s="17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</row>
    <row r="3" spans="1:17" ht="15" customHeight="1" thickTop="1" x14ac:dyDescent="0.3">
      <c r="A3" s="19"/>
    </row>
    <row r="4" spans="1:17" ht="15" customHeight="1" x14ac:dyDescent="0.3">
      <c r="A4" s="19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0.5" customHeight="1" x14ac:dyDescent="0.3">
      <c r="A5" s="20" t="s">
        <v>324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9.6" customHeight="1" x14ac:dyDescent="0.3">
      <c r="A6" s="19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x14ac:dyDescent="0.3">
      <c r="A7" s="19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x14ac:dyDescent="0.3">
      <c r="A8" s="19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3">
      <c r="A9" s="19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x14ac:dyDescent="0.3">
      <c r="A10" s="19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x14ac:dyDescent="0.3">
      <c r="A11" s="19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x14ac:dyDescent="0.3">
      <c r="A12" s="19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3">
      <c r="A13" s="19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x14ac:dyDescent="0.3">
      <c r="A14" s="19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x14ac:dyDescent="0.3">
      <c r="A15" s="19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x14ac:dyDescent="0.3">
      <c r="A16" s="19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3">
      <c r="A17" s="19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</row>
    <row r="18" spans="1:17" x14ac:dyDescent="0.3">
      <c r="A18" s="19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</row>
    <row r="19" spans="1:17" x14ac:dyDescent="0.3">
      <c r="A19" s="19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</row>
    <row r="20" spans="1:17" x14ac:dyDescent="0.3">
      <c r="A20" s="19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</row>
    <row r="21" spans="1:17" x14ac:dyDescent="0.3">
      <c r="A21" s="19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</row>
    <row r="22" spans="1:17" x14ac:dyDescent="0.3">
      <c r="A22" s="19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3">
      <c r="A23" s="19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</row>
    <row r="24" spans="1:17" x14ac:dyDescent="0.3">
      <c r="A24" s="19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spans="1:17" x14ac:dyDescent="0.3">
      <c r="A25" s="19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</row>
    <row r="26" spans="1:17" x14ac:dyDescent="0.3">
      <c r="A26" s="19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spans="1:17" x14ac:dyDescent="0.3">
      <c r="A27" s="19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</row>
    <row r="28" spans="1:17" x14ac:dyDescent="0.3">
      <c r="A28" s="19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</row>
    <row r="29" spans="1:17" x14ac:dyDescent="0.3">
      <c r="A29" s="19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</row>
    <row r="30" spans="1:17" x14ac:dyDescent="0.3">
      <c r="A30" s="19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</row>
    <row r="31" spans="1:17" x14ac:dyDescent="0.3">
      <c r="A31" s="19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</row>
    <row r="32" spans="1:17" x14ac:dyDescent="0.3">
      <c r="A32" s="19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spans="1:17" x14ac:dyDescent="0.3">
      <c r="A33" s="19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spans="1:17" x14ac:dyDescent="0.3">
      <c r="A34" s="19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</row>
    <row r="35" spans="1:17" x14ac:dyDescent="0.3">
      <c r="A35" s="19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</sheetData>
  <sheetProtection selectLockedCells="1"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Props1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3</vt:i4>
      </vt:variant>
    </vt:vector>
  </HeadingPairs>
  <TitlesOfParts>
    <vt:vector size="7" baseType="lpstr">
      <vt:lpstr>A̳ssets</vt:lpstr>
      <vt:lpstr>B̳ases</vt:lpstr>
      <vt:lpstr>C̳álculos</vt:lpstr>
      <vt:lpstr>D̳ashboard</vt:lpstr>
      <vt:lpstr>table_easeasonpass_total</vt:lpstr>
      <vt:lpstr>tbl_annual_total</vt:lpstr>
      <vt:lpstr>tbl_easeasonpass_total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Bruna Dias</cp:lastModifiedBy>
  <dcterms:created xsi:type="dcterms:W3CDTF">2024-12-19T13:13:10Z</dcterms:created>
  <dcterms:modified xsi:type="dcterms:W3CDTF">2026-08-20T19:42:20Z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