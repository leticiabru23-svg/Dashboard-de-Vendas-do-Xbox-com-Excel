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a\Downloads\"/>
    </mc:Choice>
  </mc:AlternateContent>
  <xr:revisionPtr revIDLastSave="0" documentId="13_ncr:1_{BE618827-81E8-4F2D-9A0F-2EFEC5CCFA26}" xr6:coauthVersionLast="47" xr6:coauthVersionMax="47" xr10:uidLastSave="{00000000-0000-0000-0000-000000000000}"/>
  <bookViews>
    <workbookView xWindow="-108" yWindow="-108" windowWidth="23256" windowHeight="12456" tabRatio="51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externalReferences>
    <externalReference r:id="rId5"/>
    <externalReference r:id="rId6"/>
  </externalReferences>
  <definedNames>
    <definedName name="SegmentaçãodeDados_Subscription_Type">#N/A</definedName>
    <definedName name="table_easeasonpass_total">C̳álculos!$B$17</definedName>
    <definedName name="tbl_annual_total">C̳álculos!$B$12</definedName>
    <definedName name="tbl_easeasonpass_total">C̳álculos!$B$21</definedName>
  </definedNames>
  <calcPr calcId="191029"/>
  <pivotCaches>
    <pivotCache cacheId="14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3" l="1"/>
  <c r="E23" i="3"/>
</calcChain>
</file>

<file path=xl/sharedStrings.xml><?xml version="1.0" encoding="utf-8"?>
<sst xmlns="http://schemas.openxmlformats.org/spreadsheetml/2006/main" count="2023" uniqueCount="326">
  <si>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</si>
  <si>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</si>
  <si>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</si>
  <si>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</si>
  <si>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</si>
  <si>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</si>
  <si>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</si>
  <si>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</si>
  <si>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</si>
  <si>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</si>
  <si>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</si>
  <si>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</si>
  <si>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</si>
  <si>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</si>
  <si>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</si>
  <si>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</si>
  <si>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</si>
  <si>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</si>
  <si>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</si>
  <si>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</si>
  <si>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</si>
  <si>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</si>
  <si>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</si>
  <si>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</si>
  <si>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</si>
  <si>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</si>
  <si>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</si>
  <si>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</si>
  <si>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</si>
  <si>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</si>
  <si>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</si>
  <si>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</si>
  <si>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</si>
  <si>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</si>
  <si>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</si>
  <si>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</si>
  <si>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</si>
  <si>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</si>
  <si>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</si>
  <si>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</si>
  <si>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</si>
  <si>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</si>
  <si>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</si>
  <si>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</si>
  <si>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</si>
  <si>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</si>
  <si>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</si>
  <si>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</si>
  <si>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</si>
  <si>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</si>
  <si>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</si>
  <si>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</si>
  <si>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</si>
  <si>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</si>
  <si>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</si>
  <si>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</si>
  <si>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</si>
  <si>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</si>
  <si>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</si>
  <si>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</si>
  <si>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</si>
  <si>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</si>
  <si>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</si>
  <si>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</si>
  <si>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</si>
  <si>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</si>
  <si>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</si>
  <si>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</si>
  <si>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</si>
  <si>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</si>
  <si>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</si>
  <si>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</si>
  <si>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</si>
  <si>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</si>
  <si>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</si>
  <si>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</si>
  <si>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</si>
  <si>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</si>
  <si>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</si>
  <si>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</si>
  <si>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</si>
  <si>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</si>
  <si>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</si>
  <si>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</si>
  <si>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</si>
  <si>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</si>
  <si>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</si>
  <si>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</si>
  <si>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</si>
  <si>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</si>
  <si>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</si>
  <si>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</si>
  <si>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</si>
  <si>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</si>
  <si>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</si>
  <si>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</si>
  <si>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</si>
  <si>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</si>
  <si>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</si>
  <si>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</si>
  <si>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</si>
  <si>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</si>
  <si>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</si>
  <si>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</si>
  <si>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</si>
  <si>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</si>
  <si>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</si>
  <si>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</si>
  <si>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</si>
  <si>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</si>
  <si>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</si>
  <si>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</si>
  <si>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</si>
  <si>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</si>
  <si>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</si>
  <si>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</si>
  <si>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</si>
  <si>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</si>
  <si>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</si>
  <si>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</si>
  <si>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</si>
  <si>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</si>
  <si>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</si>
  <si>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</si>
  <si>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</si>
  <si>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</si>
  <si>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</si>
  <si>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</si>
  <si>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</si>
  <si>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</si>
  <si>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</si>
  <si>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</si>
  <si>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</si>
  <si>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</si>
  <si>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</si>
  <si>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</si>
  <si>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</si>
  <si>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</si>
  <si>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</si>
  <si>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</si>
  <si>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</si>
  <si>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</si>
  <si>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</si>
  <si>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</si>
  <si>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</si>
  <si>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</si>
  <si>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</si>
  <si>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</si>
  <si>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</si>
  <si>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</si>
  <si>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</si>
  <si>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</si>
  <si>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</si>
  <si>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</si>
  <si>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</si>
  <si>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</si>
  <si>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</si>
  <si>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</si>
  <si>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</si>
  <si>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</si>
  <si>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</si>
  <si>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</si>
  <si>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</si>
  <si>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</si>
  <si>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</si>
  <si>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</si>
  <si>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</si>
  <si>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</si>
  <si>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</si>
  <si>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</si>
  <si>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</si>
  <si>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</si>
  <si>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</si>
  <si>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</si>
  <si>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</si>
  <si>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</si>
  <si>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</si>
  <si>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</si>
  <si>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</si>
  <si>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</si>
  <si>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</si>
  <si>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</si>
  <si>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</si>
  <si>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</si>
  <si>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</si>
  <si>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</si>
  <si>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</si>
  <si>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</si>
  <si>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</si>
  <si>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</si>
  <si>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</si>
  <si>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</si>
  <si>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</si>
  <si>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</si>
  <si>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</si>
  <si>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</si>
  <si>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</si>
  <si>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</si>
  <si>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</si>
  <si>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</si>
  <si>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</si>
  <si>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</si>
  <si>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</si>
  <si>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</si>
  <si>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</si>
  <si>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</si>
  <si>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</si>
  <si>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</si>
  <si>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</si>
  <si>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</si>
  <si>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</si>
  <si>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</si>
  <si>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</si>
  <si>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</si>
  <si>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</si>
  <si>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</si>
  <si>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</si>
  <si>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</si>
  <si>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</si>
  <si>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</si>
  <si>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</si>
  <si>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</si>
  <si>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</si>
  <si>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</si>
  <si>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</si>
  <si>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</si>
  <si>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</si>
  <si>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</si>
  <si>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</si>
  <si>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</si>
  <si>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</si>
  <si>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</si>
  <si>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</si>
  <si>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</si>
  <si>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</si>
  <si>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</si>
  <si>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</si>
  <si>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</si>
  <si>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</si>
  <si>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</si>
  <si>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</si>
  <si>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</si>
  <si>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</si>
  <si>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</si>
  <si>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</si>
  <si>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</si>
  <si>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</si>
  <si>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</si>
  <si>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</si>
  <si>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</si>
  <si>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</si>
  <si>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</si>
  <si>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</si>
  <si>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</si>
  <si>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</si>
  <si>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</si>
  <si>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</si>
  <si>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</si>
  <si>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</si>
  <si>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</si>
  <si>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</si>
  <si>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</si>
  <si>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</si>
  <si>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</si>
  <si>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</si>
  <si>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</si>
  <si>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</si>
  <si>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</si>
  <si>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</si>
  <si>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</si>
  <si>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</si>
  <si>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</si>
  <si>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</si>
  <si>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</si>
  <si>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</si>
  <si>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</si>
  <si>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</si>
  <si>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</si>
  <si>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</si>
  <si>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</si>
  <si>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</si>
  <si>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</si>
  <si>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</si>
  <si>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</si>
  <si>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</si>
  <si>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</si>
  <si>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</si>
  <si>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</si>
  <si>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</si>
  <si>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</si>
  <si>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</si>
  <si>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</si>
  <si>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</si>
  <si>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</si>
  <si>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</si>
  <si>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</si>
  <si>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</si>
  <si>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</si>
  <si>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</si>
  <si>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</si>
  <si>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</si>
  <si>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</si>
  <si>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</si>
  <si>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</si>
  <si>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</si>
  <si>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</si>
  <si>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</si>
  <si>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</si>
  <si>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</si>
  <si>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</si>
  <si>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</si>
  <si>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</si>
  <si>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</si>
  <si>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</si>
  <si>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</si>
  <si>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</si>
  <si>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</si>
  <si>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</si>
  <si>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</si>
  <si>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 xml:space="preserve"> XBOX GAME PASS SUBSCRIPTIONS SALES</t>
  </si>
  <si>
    <t>Soma de EA Play Season Pass</t>
  </si>
  <si>
    <t>Pergunta Negócio 3 - Total de Vendas de Assinaturas do EA Play</t>
  </si>
  <si>
    <t>(Tudo)</t>
  </si>
  <si>
    <t>Pergunta Negócio 4 - Total de Vendas de Assinaturas do Minecraft Season Pass</t>
  </si>
  <si>
    <t>Soma de Minecraft Season Pass Price</t>
  </si>
  <si>
    <t>bem vinda, BRUNA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</si>
</sst>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0" fontId="6" fillId="0" borderId="2" xfId="1" applyFont="1" applyBorder="1" applyAlignment="1">
      <alignment horizontal="left" indent="7"/>
    </xf>
    <xf numFmtId="0" fontId="7" fillId="0" borderId="2" xfId="1" applyFont="1" applyBorder="1"/>
    <xf numFmtId="0" fontId="6" fillId="0" borderId="2" xfId="1" applyFont="1" applyBorder="1" applyAlignment="1">
      <alignment horizontal="left"/>
    </xf>
    <xf numFmtId="0" fontId="0" fillId="0" borderId="0" xfId="0" applyNumberFormat="1"/>
    <xf numFmtId="165" fontId="0" fillId="0" borderId="0" xfId="0" applyNumberFormat="1"/>
    <xf numFmtId="0" fontId="2" fillId="0" borderId="0" xfId="3" applyFont="1" applyFill="1" applyAlignment="1">
      <alignment horizontal="center"/>
    </xf>
    <xf numFmtId="0" fontId="0" fillId="4" borderId="0" xfId="0" applyFill="1" applyProtection="1"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608F4308-4995-4978-9FC1-8A210DD35A33}">
      <tableStyleElement type="wholeTable" dxfId="1"/>
      <tableStyleElement type="headerRow" dxfId="0"/>
    </tableStyle>
  </tableStyles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No</c:v>
              </c:pt>
              <c:pt idx="1">
                <c:v>Yes</c:v>
              </c:pt>
            </c:strLit>
          </c:cat>
          <c:val>
            <c:numLit>
              <c:formatCode>General</c:formatCode>
              <c:ptCount val="2"/>
              <c:pt idx="0">
                <c:v>2824</c:v>
              </c:pt>
              <c:pt idx="1">
                <c:v>747</c:v>
              </c:pt>
            </c:numLit>
          </c:val>
          <c:extLst>
            <c:ext xmlns:c16="http://schemas.microsoft.com/office/drawing/2014/chart" uri="{C3380CC4-5D6E-409C-BE32-E72D297353CC}">
              <c16:uniqueId val="{00000000-DB05-4089-928D-D7911A0BE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bruna-dias-286567169/" TargetMode="External"/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11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</xdr:row>
      <xdr:rowOff>137160</xdr:rowOff>
    </xdr:from>
    <xdr:to>
      <xdr:col>16</xdr:col>
      <xdr:colOff>350520</xdr:colOff>
      <xdr:row>33</xdr:row>
      <xdr:rowOff>13811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B534B0C-07C9-4A0C-BA0E-BAEB42B4FB4C}"/>
            </a:ext>
          </a:extLst>
        </xdr:cNvPr>
        <xdr:cNvGrpSpPr/>
      </xdr:nvGrpSpPr>
      <xdr:grpSpPr>
        <a:xfrm>
          <a:off x="2125980" y="2910840"/>
          <a:ext cx="8724900" cy="3351371"/>
          <a:chOff x="2083593" y="3178969"/>
          <a:chExt cx="10298904" cy="3298031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448338E9-8E01-1DE2-EAD8-70689FB3ACCF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455161E9-3F25-4A6F-579D-9EDC2AA1585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60EBEAE-5FB3-0A52-740E-BA633FB95614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 macro="" textlink="">
        <xdr:nvSpPr>
          <xdr:cNvPr id="4" name="Retângulo: Cantos Superiores Arredondados 3">
            <a:extLst>
              <a:ext uri="{FF2B5EF4-FFF2-40B4-BE49-F238E27FC236}">
                <a16:creationId xmlns:a16="http://schemas.microsoft.com/office/drawing/2014/main" id="{B8182630-981D-6223-0DF4-0E6456B5DBD5}"/>
              </a:ext>
            </a:extLst>
          </xdr:cNvPr>
          <xdr:cNvSpPr/>
        </xdr:nvSpPr>
        <xdr:spPr>
          <a:xfrm>
            <a:off x="2083593" y="3178969"/>
            <a:ext cx="1029890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91440</xdr:colOff>
      <xdr:row>7</xdr:row>
      <xdr:rowOff>76200</xdr:rowOff>
    </xdr:from>
    <xdr:to>
      <xdr:col>0</xdr:col>
      <xdr:colOff>1873976</xdr:colOff>
      <xdr:row>14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145AC98A-2E31-47B1-843D-E32B19C992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440" y="1569720"/>
              <a:ext cx="1782536" cy="125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60960</xdr:colOff>
      <xdr:row>0</xdr:row>
      <xdr:rowOff>83820</xdr:rowOff>
    </xdr:from>
    <xdr:to>
      <xdr:col>2</xdr:col>
      <xdr:colOff>497990</xdr:colOff>
      <xdr:row>2</xdr:row>
      <xdr:rowOff>186212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D9CE1BBE-339E-4BCA-954E-E8D63050FD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43100" y="83820"/>
          <a:ext cx="680870" cy="780572"/>
        </a:xfrm>
        <a:prstGeom prst="rect">
          <a:avLst/>
        </a:prstGeom>
      </xdr:spPr>
    </xdr:pic>
    <xdr:clientData/>
  </xdr:twoCellAnchor>
  <xdr:twoCellAnchor editAs="absolute">
    <xdr:from>
      <xdr:col>2</xdr:col>
      <xdr:colOff>15240</xdr:colOff>
      <xdr:row>5</xdr:row>
      <xdr:rowOff>22860</xdr:rowOff>
    </xdr:from>
    <xdr:to>
      <xdr:col>8</xdr:col>
      <xdr:colOff>601980</xdr:colOff>
      <xdr:row>14</xdr:row>
      <xdr:rowOff>25500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08840381-1EB6-4968-A242-4AD185FFB44F}"/>
            </a:ext>
          </a:extLst>
        </xdr:cNvPr>
        <xdr:cNvGrpSpPr/>
      </xdr:nvGrpSpPr>
      <xdr:grpSpPr>
        <a:xfrm>
          <a:off x="2141220" y="1211580"/>
          <a:ext cx="4244340" cy="1587600"/>
          <a:chOff x="2095500" y="1143000"/>
          <a:chExt cx="4655345" cy="1639957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9DDC283-537E-E37A-5E9D-3468A12D5FFE}"/>
              </a:ext>
            </a:extLst>
          </xdr:cNvPr>
          <xdr:cNvSpPr/>
        </xdr:nvSpPr>
        <xdr:spPr>
          <a:xfrm>
            <a:off x="2095501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3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4221C67C-26FE-1C78-9584-AE62315CB497}"/>
              </a:ext>
            </a:extLst>
          </xdr:cNvPr>
          <xdr:cNvSpPr/>
        </xdr:nvSpPr>
        <xdr:spPr>
          <a:xfrm>
            <a:off x="3212308" y="1694002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F59912B-113D-41F8-8D7A-40A5FEDCB4C1}" type="TxLink">
              <a:rPr lang="en-US" sz="3200" b="0" i="0" u="none" strike="noStrike" kern="1200">
                <a:solidFill>
                  <a:srgbClr val="22C55E"/>
                </a:solidFill>
                <a:latin typeface="Aptos Narrow"/>
              </a:rPr>
              <a:t>R$ 2.940,00</a:t>
            </a:fld>
            <a:endParaRPr lang="pt-BR" sz="3200" kern="1200">
              <a:solidFill>
                <a:srgbClr val="22C55E"/>
              </a:solidFill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D2B4AE18-1047-E6EF-D684-EBCC8CFFEB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55700" y="1563757"/>
            <a:ext cx="1219200" cy="1219200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90B987CE-625D-0219-E6DD-328DC03BEE3D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9</xdr:col>
      <xdr:colOff>182880</xdr:colOff>
      <xdr:row>5</xdr:row>
      <xdr:rowOff>22860</xdr:rowOff>
    </xdr:from>
    <xdr:to>
      <xdr:col>16</xdr:col>
      <xdr:colOff>320100</xdr:colOff>
      <xdr:row>13</xdr:row>
      <xdr:rowOff>146114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73B374B4-47B6-1A46-E6B7-EA81786C41E4}"/>
            </a:ext>
          </a:extLst>
        </xdr:cNvPr>
        <xdr:cNvGrpSpPr/>
      </xdr:nvGrpSpPr>
      <xdr:grpSpPr>
        <a:xfrm>
          <a:off x="6576060" y="1211580"/>
          <a:ext cx="4244400" cy="1525334"/>
          <a:chOff x="6614160" y="1211581"/>
          <a:chExt cx="4244400" cy="1442264"/>
        </a:xfrm>
      </xdr:grpSpPr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6AD5A3C2-3621-422A-8D48-D459909B4887}"/>
              </a:ext>
            </a:extLst>
          </xdr:cNvPr>
          <xdr:cNvGrpSpPr/>
        </xdr:nvGrpSpPr>
        <xdr:grpSpPr>
          <a:xfrm>
            <a:off x="6614160" y="1211581"/>
            <a:ext cx="4244400" cy="1442264"/>
            <a:chOff x="7534275" y="1247776"/>
            <a:chExt cx="4655344" cy="1509984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7A55FF56-982B-0F44-5220-59CEBD93FB01}"/>
                </a:ext>
              </a:extLst>
            </xdr:cNvPr>
            <xdr:cNvGrpSpPr/>
          </xdr:nvGrpSpPr>
          <xdr:grpSpPr>
            <a:xfrm>
              <a:off x="7534275" y="1247776"/>
              <a:ext cx="4655344" cy="1509984"/>
              <a:chOff x="2095500" y="1143001"/>
              <a:chExt cx="4655344" cy="1509984"/>
            </a:xfrm>
          </xdr:grpSpPr>
          <xdr:sp macro="" textlink="">
            <xdr:nvSpPr>
              <xdr:cNvPr id="23" name="Retângulo: Cantos Arredondados 22">
                <a:extLst>
                  <a:ext uri="{FF2B5EF4-FFF2-40B4-BE49-F238E27FC236}">
                    <a16:creationId xmlns:a16="http://schemas.microsoft.com/office/drawing/2014/main" id="{4454F156-4E37-8DAD-56F6-8180612E493E}"/>
                  </a:ext>
                </a:extLst>
              </xdr:cNvPr>
              <xdr:cNvSpPr/>
            </xdr:nvSpPr>
            <xdr:spPr>
              <a:xfrm>
                <a:off x="2095500" y="1202530"/>
                <a:ext cx="4655344" cy="1450455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[1]C̳álculos!G51">
            <xdr:nvSpPr>
              <xdr:cNvPr id="24" name="Retângulo: Cantos Arredondados 23">
                <a:extLst>
                  <a:ext uri="{FF2B5EF4-FFF2-40B4-BE49-F238E27FC236}">
                    <a16:creationId xmlns:a16="http://schemas.microsoft.com/office/drawing/2014/main" id="{5BF2BB67-6878-9274-2142-547ED69F539B}"/>
                  </a:ext>
                </a:extLst>
              </xdr:cNvPr>
              <xdr:cNvSpPr/>
            </xdr:nvSpPr>
            <xdr:spPr>
              <a:xfrm>
                <a:off x="3212308" y="1709738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E52E6073-EB91-45C9-81B2-5596C04756C0}" type="TxLink">
                  <a:rPr lang="en-US" sz="3600" b="0" i="0" u="none" strike="noStrike" kern="1200">
                    <a:solidFill>
                      <a:srgbClr val="22C55E"/>
                    </a:solidFill>
                    <a:latin typeface="Aptos Narrow"/>
                  </a:rPr>
                  <a:pPr algn="ctr"/>
                  <a:t> </a:t>
                </a:fld>
                <a:endParaRPr lang="pt-BR" sz="3600" kern="12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25" name="Retângulo: Cantos Superiores Arredondados 24">
                <a:extLst>
                  <a:ext uri="{FF2B5EF4-FFF2-40B4-BE49-F238E27FC236}">
                    <a16:creationId xmlns:a16="http://schemas.microsoft.com/office/drawing/2014/main" id="{A9255586-2535-51AB-D6C6-7D6B7D19B5C7}"/>
                  </a:ext>
                </a:extLst>
              </xdr:cNvPr>
              <xdr:cNvSpPr/>
            </xdr:nvSpPr>
            <xdr:spPr>
              <a:xfrm>
                <a:off x="2095500" y="1143001"/>
                <a:ext cx="4655344" cy="434780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 kern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MINECRAFT</a:t>
                </a:r>
                <a:r>
                  <a:rPr lang="pt-BR" sz="1100" b="1" kern="1200" baseline="0">
                    <a:latin typeface="Segoe UI" panose="020B0502040204020203" pitchFamily="34" charset="0"/>
                    <a:cs typeface="Segoe UI" panose="020B0502040204020203" pitchFamily="34" charset="0"/>
                  </a:rPr>
                  <a:t> </a:t>
                </a:r>
                <a:r>
                  <a:rPr lang="pt-BR" sz="1100" b="1" kern="1200">
                    <a:latin typeface="Segoe UI" panose="020B0502040204020203" pitchFamily="34" charset="0"/>
                    <a:cs typeface="Segoe UI" panose="020B0502040204020203" pitchFamily="34" charset="0"/>
                  </a:rPr>
                  <a:t>SEASON PASS</a:t>
                </a:r>
              </a:p>
            </xdr:txBody>
          </xdr:sp>
        </xdr:grp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5DDD1D87-38BE-91BD-B401-91CF886B2FE3}"/>
                </a:ext>
              </a:extLst>
            </xdr:cNvPr>
            <xdr:cNvGrpSpPr/>
          </xdr:nvGrpSpPr>
          <xdr:grpSpPr>
            <a:xfrm>
              <a:off x="7703345" y="1952626"/>
              <a:ext cx="1083467" cy="583406"/>
              <a:chOff x="3495675" y="5400674"/>
              <a:chExt cx="1549476" cy="752476"/>
            </a:xfrm>
          </xdr:grpSpPr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EBED62DE-C5F4-9E3B-4358-7B96AC3CB16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  <a:ln>
                <a:noFill/>
              </a:ln>
            </xdr:spPr>
          </xdr:pic>
          <xdr:pic>
            <xdr:nvPicPr>
              <xdr:cNvPr id="22" name="Gráfico 21">
                <a:extLst>
                  <a:ext uri="{FF2B5EF4-FFF2-40B4-BE49-F238E27FC236}">
                    <a16:creationId xmlns:a16="http://schemas.microsoft.com/office/drawing/2014/main" id="{7345B69E-3048-0EB8-25B0-99B2DC62C81D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5">
                <a:extLst>
                  <a:ext uri="{96DAC541-7B7A-43D3-8B79-37D633B846F1}">
                    <asvg:svgBlip xmlns:asvg="http://schemas.microsoft.com/office/drawing/2016/SVG/main" r:embed="rId6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sp macro="" textlink="C̳álculos!E33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FC315177-B270-49FE-BFDF-A26DBE9FC6B9}"/>
              </a:ext>
            </a:extLst>
          </xdr:cNvPr>
          <xdr:cNvSpPr/>
        </xdr:nvSpPr>
        <xdr:spPr>
          <a:xfrm>
            <a:off x="7559040" y="1737360"/>
            <a:ext cx="2759363" cy="859929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900ED99-277D-4389-9FDC-CCBD042E1E8D}" type="TxLink">
              <a:rPr lang="en-US" sz="3200" b="0" i="0" u="none" strike="noStrike" kern="1200">
                <a:solidFill>
                  <a:srgbClr val="22C55E"/>
                </a:solidFill>
                <a:latin typeface="Aptos Narrow"/>
              </a:rPr>
              <a:t>R$ 3.880,00</a:t>
            </a:fld>
            <a:endParaRPr lang="pt-BR" sz="3200" kern="1200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0</xdr:col>
      <xdr:colOff>601980</xdr:colOff>
      <xdr:row>0</xdr:row>
      <xdr:rowOff>137160</xdr:rowOff>
    </xdr:from>
    <xdr:to>
      <xdr:col>0</xdr:col>
      <xdr:colOff>1297305</xdr:colOff>
      <xdr:row>2</xdr:row>
      <xdr:rowOff>121920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A2C5E5B2-87F9-4186-A878-953B90123646}"/>
            </a:ext>
          </a:extLst>
        </xdr:cNvPr>
        <xdr:cNvSpPr/>
      </xdr:nvSpPr>
      <xdr:spPr>
        <a:xfrm>
          <a:off x="601980" y="13716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1</xdr:col>
      <xdr:colOff>205740</xdr:colOff>
      <xdr:row>3</xdr:row>
      <xdr:rowOff>15240</xdr:rowOff>
    </xdr:from>
    <xdr:to>
      <xdr:col>9</xdr:col>
      <xdr:colOff>296109</xdr:colOff>
      <xdr:row>4</xdr:row>
      <xdr:rowOff>40805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48BB67A2-84B6-4422-A684-120B549583C9}"/>
            </a:ext>
          </a:extLst>
        </xdr:cNvPr>
        <xdr:cNvSpPr/>
      </xdr:nvSpPr>
      <xdr:spPr>
        <a:xfrm>
          <a:off x="2087880" y="883920"/>
          <a:ext cx="460140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20/08/2026 12:00:00</a:t>
          </a:r>
        </a:p>
      </xdr:txBody>
    </xdr:sp>
    <xdr:clientData/>
  </xdr:twoCellAnchor>
  <xdr:twoCellAnchor editAs="absolute">
    <xdr:from>
      <xdr:col>0</xdr:col>
      <xdr:colOff>22860</xdr:colOff>
      <xdr:row>14</xdr:row>
      <xdr:rowOff>121920</xdr:rowOff>
    </xdr:from>
    <xdr:to>
      <xdr:col>1</xdr:col>
      <xdr:colOff>22860</xdr:colOff>
      <xdr:row>17</xdr:row>
      <xdr:rowOff>51435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657D2F19-278A-41CB-825B-882514782320}"/>
            </a:ext>
          </a:extLst>
        </xdr:cNvPr>
        <xdr:cNvSpPr/>
      </xdr:nvSpPr>
      <xdr:spPr>
        <a:xfrm>
          <a:off x="22860" y="2895600"/>
          <a:ext cx="1882140" cy="4781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0">
              <a:solidFill>
                <a:schemeClr val="bg1"/>
              </a:solidFill>
            </a:rPr>
            <a:t>SYSTEM BY BRUNA DIAS </a:t>
          </a:r>
          <a:r>
            <a:rPr lang="pt-BR" sz="1100" b="1">
              <a:solidFill>
                <a:schemeClr val="bg1"/>
              </a:solidFill>
            </a:rPr>
            <a:t>🎲</a:t>
          </a:r>
        </a:p>
      </xdr:txBody>
    </xdr:sp>
    <xdr:clientData/>
  </xdr:twoCellAnchor>
  <xdr:twoCellAnchor editAs="absolute">
    <xdr:from>
      <xdr:col>0</xdr:col>
      <xdr:colOff>685800</xdr:colOff>
      <xdr:row>16</xdr:row>
      <xdr:rowOff>7620</xdr:rowOff>
    </xdr:from>
    <xdr:to>
      <xdr:col>0</xdr:col>
      <xdr:colOff>1030984</xdr:colOff>
      <xdr:row>17</xdr:row>
      <xdr:rowOff>154306</xdr:rowOff>
    </xdr:to>
    <xdr:pic macro="[2]!MoverIconeParaPosicao">
      <xdr:nvPicPr>
        <xdr:cNvPr id="31" name="icon_link" descr="Linkedin White Icons – Free Download SVG, PNG, GIF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6322AB2-0787-498D-82DD-3D73DF7DA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147060"/>
          <a:ext cx="345184" cy="329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167640</xdr:colOff>
      <xdr:row>5</xdr:row>
      <xdr:rowOff>45720</xdr:rowOff>
    </xdr:from>
    <xdr:to>
      <xdr:col>0</xdr:col>
      <xdr:colOff>1720215</xdr:colOff>
      <xdr:row>5</xdr:row>
      <xdr:rowOff>45720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46BCAF10-5079-4839-A5B7-87A656A45821}"/>
            </a:ext>
          </a:extLst>
        </xdr:cNvPr>
        <xdr:cNvCxnSpPr/>
      </xdr:nvCxnSpPr>
      <xdr:spPr>
        <a:xfrm>
          <a:off x="167640" y="1234440"/>
          <a:ext cx="155257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MicrosoftEdgeDownloads/303ca60b-413f-4f0f-b259-f5f5018fbc88/0120950e-64c8-4092-a257-ba22ed198c69.xlsx" TargetMode="External"/><Relationship Id="rId2" Type="http://schemas.openxmlformats.org/officeDocument/2006/relationships/externalLinkPath" Target="file:///C:\Users\bruna\AppData\Local\Temp\MicrosoftEdgeDownloads\303ca60b-413f-4f0f-b259-f5f5018fbc88\0120950e-64c8-4092-a257-ba22ed198c69.xlsx" TargetMode="External"/><Relationship Id="rId1" Type="http://schemas.openxmlformats.org/officeDocument/2006/relationships/externalLinkPath" Target="/Users/bruna/AppData/Local/Temp/MicrosoftEdgeDownloads/303ca60b-413f-4f0f-b259-f5f5018fbc88/0120950e-64c8-4092-a257-ba22ed198c6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9fb2d12606b095/&#193;rea%20de%20Trabalho/Projetos/Organizador%20de%20Declara&#231;&#227;o%20de%20Imposto%20de%20Renda.xlsm" TargetMode="External"/><Relationship Id="rId1" Type="http://schemas.openxmlformats.org/officeDocument/2006/relationships/externalLinkPath" Target="https://d.docs.live.net/e29fb2d12606b095/&#193;rea%20de%20Trabalho/Projetos/Organizador%20de%20Declara&#231;&#227;o%20de%20Imposto%20de%20Rend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ULAR"/>
      <sheetName val="INFORMES"/>
      <sheetName val="NOTAS"/>
      <sheetName val="TABELAS"/>
    </sheetNames>
    <definedNames>
      <definedName name="MoverIconeParaPosicao"/>
    </defined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una/AppData/Local/Temp/MicrosoftEdgeDownloads/303ca60b-413f-4f0f-b259-f5f5018fbc88/0120950e-64c8-4092-a257-ba22ed198c6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a Dias" refreshedDate="46254.511258680555" createdVersion="8" refreshedVersion="8" minRefreshableVersion="3" recordCount="295" xr:uid="{2551A83C-056B-41B1-89B5-9C5C6FAF3422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4459713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6CC6A-72F6-48F1-B5D8-D8ED299236ED}" name="Tabela dinâmica4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9:C3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B9855-DA08-403B-9B9C-2C34A5B33842}" name="tbl_easeasonpass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9:C23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1CA0C-654D-4207-ADFD-05DEDAD5B9D8}" name="tbl_annual_total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92DF776-E343-4598-975F-F248CF730C9E}" sourceName="Subscription Type">
  <pivotTables>
    <pivotTable tabId="3" name="tbl_annual_total"/>
    <pivotTable tabId="3" name="tbl_easeasonpass_total"/>
    <pivotTable tabId="3" name="Tabela dinâmica4"/>
  </pivotTables>
  <data>
    <tabular pivotCacheId="124459713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2EF08CB-BFB3-4290-820A-F24AFA8D811B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D31" sqref="D31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33"/>
  <sheetViews>
    <sheetView showGridLines="0" workbookViewId="0">
      <selection activeCell="D31" sqref="D31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12.44140625" customWidth="1"/>
    <col min="5" max="5" width="10.55468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6" x14ac:dyDescent="0.3">
      <c r="B2" s="20" t="s">
        <v>313</v>
      </c>
      <c r="C2" s="20"/>
      <c r="D2" s="20"/>
      <c r="E2" s="20"/>
      <c r="F2" s="20"/>
    </row>
    <row r="5" spans="2:6" x14ac:dyDescent="0.3">
      <c r="B5" t="s">
        <v>314</v>
      </c>
    </row>
    <row r="6" spans="2:6" x14ac:dyDescent="0.3">
      <c r="B6" t="s">
        <v>315</v>
      </c>
    </row>
    <row r="8" spans="2:6" x14ac:dyDescent="0.3">
      <c r="B8" s="14" t="s">
        <v>16</v>
      </c>
      <c r="C8" t="s">
        <v>322</v>
      </c>
    </row>
    <row r="10" spans="2:6" x14ac:dyDescent="0.3">
      <c r="B10" s="14" t="s">
        <v>316</v>
      </c>
      <c r="C10" t="s">
        <v>317</v>
      </c>
    </row>
    <row r="11" spans="2:6" x14ac:dyDescent="0.3">
      <c r="B11" s="12" t="s">
        <v>23</v>
      </c>
      <c r="C11" s="13">
        <v>3847</v>
      </c>
    </row>
    <row r="12" spans="2:6" x14ac:dyDescent="0.3">
      <c r="B12" s="12" t="s">
        <v>19</v>
      </c>
      <c r="C12" s="13">
        <v>3786</v>
      </c>
    </row>
    <row r="13" spans="2:6" x14ac:dyDescent="0.3">
      <c r="B13" s="12" t="s">
        <v>318</v>
      </c>
      <c r="C13" s="13">
        <v>7633</v>
      </c>
    </row>
    <row r="15" spans="2:6" x14ac:dyDescent="0.3">
      <c r="B15" s="12" t="s">
        <v>321</v>
      </c>
    </row>
    <row r="17" spans="2:5" x14ac:dyDescent="0.3">
      <c r="B17" s="14" t="s">
        <v>16</v>
      </c>
      <c r="C17" t="s">
        <v>322</v>
      </c>
    </row>
    <row r="19" spans="2:5" x14ac:dyDescent="0.3">
      <c r="B19" s="14" t="s">
        <v>316</v>
      </c>
      <c r="C19" t="s">
        <v>320</v>
      </c>
    </row>
    <row r="20" spans="2:5" x14ac:dyDescent="0.3">
      <c r="B20" s="12" t="s">
        <v>22</v>
      </c>
      <c r="C20" s="18">
        <v>0</v>
      </c>
    </row>
    <row r="21" spans="2:5" x14ac:dyDescent="0.3">
      <c r="B21" s="12" t="s">
        <v>26</v>
      </c>
      <c r="C21" s="18">
        <v>0</v>
      </c>
    </row>
    <row r="22" spans="2:5" x14ac:dyDescent="0.3">
      <c r="B22" s="12" t="s">
        <v>18</v>
      </c>
      <c r="C22" s="18">
        <v>2940</v>
      </c>
    </row>
    <row r="23" spans="2:5" x14ac:dyDescent="0.3">
      <c r="B23" s="12" t="s">
        <v>318</v>
      </c>
      <c r="C23" s="18">
        <v>2940</v>
      </c>
      <c r="E23" s="19">
        <f>GETPIVOTDATA("EA Play Season Pass
Price",$B$19)</f>
        <v>2940</v>
      </c>
    </row>
    <row r="25" spans="2:5" x14ac:dyDescent="0.3">
      <c r="B25" s="12" t="s">
        <v>323</v>
      </c>
    </row>
    <row r="27" spans="2:5" x14ac:dyDescent="0.3">
      <c r="B27" s="14" t="s">
        <v>16</v>
      </c>
      <c r="C27" t="s">
        <v>322</v>
      </c>
    </row>
    <row r="29" spans="2:5" x14ac:dyDescent="0.3">
      <c r="B29" s="14" t="s">
        <v>316</v>
      </c>
      <c r="C29" t="s">
        <v>324</v>
      </c>
    </row>
    <row r="30" spans="2:5" x14ac:dyDescent="0.3">
      <c r="B30" s="12" t="s">
        <v>22</v>
      </c>
      <c r="C30" s="13">
        <v>0</v>
      </c>
    </row>
    <row r="31" spans="2:5" x14ac:dyDescent="0.3">
      <c r="B31" s="12" t="s">
        <v>26</v>
      </c>
      <c r="C31" s="13">
        <v>1920</v>
      </c>
    </row>
    <row r="32" spans="2:5" x14ac:dyDescent="0.3">
      <c r="B32" s="12" t="s">
        <v>18</v>
      </c>
      <c r="C32" s="13">
        <v>1960</v>
      </c>
    </row>
    <row r="33" spans="2:5" x14ac:dyDescent="0.3">
      <c r="B33" s="12" t="s">
        <v>318</v>
      </c>
      <c r="C33" s="13">
        <v>3880</v>
      </c>
      <c r="E33" s="19">
        <f>GETPIVOTDATA("Minecraft Season Pass Price",$B$29)</f>
        <v>3880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5"/>
  <sheetViews>
    <sheetView showGridLines="0" showRowColHeaders="0" tabSelected="1" zoomScaleNormal="100" workbookViewId="0">
      <selection activeCell="T12" sqref="T12"/>
    </sheetView>
  </sheetViews>
  <sheetFormatPr defaultRowHeight="14.4" x14ac:dyDescent="0.3"/>
  <cols>
    <col min="1" max="1" width="27.44140625" style="23" customWidth="1"/>
    <col min="2" max="2" width="3.5546875" customWidth="1"/>
    <col min="12" max="12" width="6.5546875" customWidth="1"/>
  </cols>
  <sheetData>
    <row r="1" spans="1:17" x14ac:dyDescent="0.3">
      <c r="A1" s="21"/>
    </row>
    <row r="2" spans="1:17" ht="39" customHeight="1" thickBot="1" x14ac:dyDescent="0.6">
      <c r="A2" s="21"/>
      <c r="C2" s="15" t="s">
        <v>319</v>
      </c>
      <c r="D2" s="17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15" customHeight="1" thickTop="1" x14ac:dyDescent="0.3">
      <c r="A3" s="21"/>
    </row>
    <row r="4" spans="1:17" ht="15" customHeight="1" x14ac:dyDescent="0.3">
      <c r="A4" s="2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10.5" customHeight="1" x14ac:dyDescent="0.3">
      <c r="A5" s="22" t="s">
        <v>325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9.6" customHeight="1" x14ac:dyDescent="0.3">
      <c r="A6" s="21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x14ac:dyDescent="0.3">
      <c r="A7" s="2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3">
      <c r="A8" s="21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3">
      <c r="A9" s="21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3">
      <c r="A10" s="2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x14ac:dyDescent="0.3">
      <c r="A11" s="21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x14ac:dyDescent="0.3">
      <c r="A12" s="21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x14ac:dyDescent="0.3">
      <c r="A13" s="21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3">
      <c r="A14" s="21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3">
      <c r="A15" s="21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3">
      <c r="A16" s="2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3">
      <c r="A17" s="21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3">
      <c r="A18" s="2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3">
      <c r="A19" s="21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3">
      <c r="A20" s="21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3">
      <c r="A21" s="21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3">
      <c r="A22" s="21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3">
      <c r="A23" s="21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3">
      <c r="A24" s="21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3">
      <c r="A25" s="21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3">
      <c r="A26" s="21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x14ac:dyDescent="0.3">
      <c r="A27" s="21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3">
      <c r="A28" s="21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x14ac:dyDescent="0.3">
      <c r="A29" s="21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3">
      <c r="A30" s="21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3">
      <c r="A31" s="21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 spans="1:17" x14ac:dyDescent="0.3">
      <c r="A32" s="21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3">
      <c r="A33" s="21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3">
      <c r="A34" s="21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3">
      <c r="A35" s="2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</sheetData>
  <sheetProtection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A̳ssets</vt:lpstr>
      <vt:lpstr>B̳ases</vt:lpstr>
      <vt:lpstr>C̳álculos</vt:lpstr>
      <vt:lpstr>D̳ashboard</vt:lpstr>
      <vt:lpstr>table_easeasonpass_total</vt:lpstr>
      <vt:lpstr>tbl_annual_total</vt:lpstr>
      <vt:lpstr>tbl_easeasonpass_total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Bruna Dias</cp:lastModifiedBy>
  <dcterms:created xsi:type="dcterms:W3CDTF">2024-12-19T13:13:10Z</dcterms:created>
  <dcterms:modified xsi:type="dcterms:W3CDTF">2026-08-20T15:48:54Z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